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mk8dx_track_db\"/>
    </mc:Choice>
  </mc:AlternateContent>
  <xr:revisionPtr revIDLastSave="0" documentId="13_ncr:1_{9937F3A3-EE33-43B7-A77D-14FB054AF12F}" xr6:coauthVersionLast="47" xr6:coauthVersionMax="47" xr10:uidLastSave="{00000000-0000-0000-0000-000000000000}"/>
  <bookViews>
    <workbookView xWindow="6770" yWindow="560" windowWidth="15780" windowHeight="10290" activeTab="2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definedNames>
    <definedName name="_xlnm._FilterDatabase" localSheetId="2" hidden="1">Data!$A$1:$F$67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6" i="2"/>
  <c r="G24" i="2"/>
  <c r="G44" i="2"/>
  <c r="G33" i="2"/>
  <c r="G21" i="2"/>
  <c r="G61" i="2"/>
  <c r="G51" i="2"/>
  <c r="G28" i="2"/>
  <c r="G19" i="2"/>
  <c r="G6" i="2"/>
  <c r="G65" i="2"/>
  <c r="G32" i="2"/>
  <c r="G41" i="2"/>
  <c r="G25" i="2"/>
  <c r="G30" i="2"/>
  <c r="G48" i="2"/>
  <c r="G43" i="2"/>
  <c r="G4" i="2"/>
  <c r="G56" i="2"/>
  <c r="G7" i="2"/>
  <c r="G5" i="2"/>
  <c r="G11" i="2"/>
  <c r="G60" i="2"/>
  <c r="G16" i="2"/>
  <c r="G20" i="2"/>
  <c r="G40" i="2"/>
  <c r="G22" i="2"/>
  <c r="G3" i="2"/>
  <c r="G10" i="2"/>
  <c r="G57" i="2"/>
  <c r="G53" i="2"/>
  <c r="G62" i="2"/>
  <c r="G14" i="2"/>
  <c r="G9" i="2"/>
  <c r="G26" i="2"/>
  <c r="G59" i="2"/>
  <c r="G55" i="2"/>
  <c r="G15" i="2"/>
  <c r="G63" i="2"/>
  <c r="G58" i="2"/>
  <c r="G54" i="2"/>
  <c r="G23" i="2"/>
  <c r="G34" i="2"/>
  <c r="G64" i="2"/>
  <c r="G2" i="2"/>
  <c r="G42" i="2"/>
  <c r="G39" i="2"/>
  <c r="G13" i="2"/>
  <c r="G46" i="2"/>
  <c r="G31" i="2"/>
  <c r="G8" i="2"/>
  <c r="G45" i="2"/>
  <c r="G50" i="2"/>
  <c r="G49" i="2"/>
  <c r="G27" i="2"/>
  <c r="G17" i="2"/>
  <c r="G12" i="2"/>
  <c r="G38" i="2"/>
  <c r="G29" i="2"/>
  <c r="G52" i="2"/>
  <c r="G47" i="2"/>
  <c r="G37" i="2"/>
  <c r="G18" i="2"/>
  <c r="G35" i="2"/>
</calcChain>
</file>

<file path=xl/sharedStrings.xml><?xml version="1.0" encoding="utf-8"?>
<sst xmlns="http://schemas.openxmlformats.org/spreadsheetml/2006/main" count="288" uniqueCount="161">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</sst>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&quot;回&quot;"/>
    <numFmt numFmtId="177" formatCode="0.0&quot;位&quot;"/>
    <numFmt numFmtId="178" formatCode="0.0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5" fillId="0" borderId="0" xfId="0" applyFont="1">
      <alignment vertical="center"/>
    </xf>
    <xf numFmtId="0" fontId="5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176" fontId="5" fillId="0" borderId="0" xfId="0" applyNumberFormat="1" applyFont="1">
      <alignment vertical="center"/>
    </xf>
    <xf numFmtId="177" fontId="5" fillId="0" borderId="0" xfId="0" applyNumberFormat="1" applyFont="1">
      <alignment vertical="center"/>
    </xf>
    <xf numFmtId="0" fontId="5" fillId="4" borderId="2" xfId="0" applyFont="1" applyFill="1" applyBorder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176" fontId="5" fillId="4" borderId="0" xfId="0" applyNumberFormat="1" applyFont="1" applyFill="1">
      <alignment vertical="center"/>
    </xf>
    <xf numFmtId="0" fontId="5" fillId="4" borderId="3" xfId="0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176" fontId="5" fillId="4" borderId="1" xfId="0" applyNumberFormat="1" applyFont="1" applyFill="1" applyBorder="1">
      <alignment vertical="center"/>
    </xf>
    <xf numFmtId="177" fontId="5" fillId="4" borderId="0" xfId="0" applyNumberFormat="1" applyFont="1" applyFill="1">
      <alignment vertical="center"/>
    </xf>
    <xf numFmtId="177" fontId="5" fillId="4" borderId="1" xfId="0" applyNumberFormat="1" applyFont="1" applyFill="1" applyBorder="1">
      <alignment vertical="center"/>
    </xf>
    <xf numFmtId="178" fontId="0" fillId="0" borderId="0" xfId="0" applyNumberFormat="1" applyAlignment="1">
      <alignment horizontal="center" vertical="center"/>
    </xf>
    <xf numFmtId="178" fontId="5" fillId="0" borderId="0" xfId="0" applyNumberFormat="1" applyFont="1">
      <alignment vertical="center"/>
    </xf>
    <xf numFmtId="178" fontId="5" fillId="4" borderId="0" xfId="0" applyNumberFormat="1" applyFont="1" applyFill="1">
      <alignment vertical="center"/>
    </xf>
    <xf numFmtId="178" fontId="5" fillId="4" borderId="1" xfId="0" applyNumberFormat="1" applyFont="1" applyFill="1" applyBorder="1">
      <alignment vertical="center"/>
    </xf>
    <xf numFmtId="0" fontId="5" fillId="8" borderId="0" xfId="0" applyFont="1" applyFill="1">
      <alignment vertical="center"/>
    </xf>
    <xf numFmtId="0" fontId="3" fillId="0" borderId="0" xfId="0" applyFont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176" fontId="3" fillId="0" borderId="0" xfId="0" applyNumberFormat="1" applyFont="1">
      <alignment vertical="center"/>
    </xf>
    <xf numFmtId="0" fontId="3" fillId="0" borderId="2" xfId="0" applyFont="1" applyBorder="1" applyAlignment="1">
      <alignment horizontal="right" vertical="center"/>
    </xf>
    <xf numFmtId="177" fontId="3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0" fontId="4" fillId="0" borderId="8" xfId="0" applyFont="1" applyBorder="1" applyAlignment="1">
      <alignment horizontal="right" vertical="center"/>
    </xf>
    <xf numFmtId="0" fontId="0" fillId="8" borderId="0" xfId="0" applyFill="1">
      <alignment vertical="center"/>
    </xf>
    <xf numFmtId="0" fontId="2" fillId="0" borderId="7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right" vertical="center"/>
    </xf>
    <xf numFmtId="0" fontId="7" fillId="0" borderId="2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9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" fillId="0" borderId="9" xfId="0" applyFont="1" applyBorder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0" xfId="0" applyFont="1" applyBorder="1">
      <alignment vertical="center"/>
    </xf>
    <xf numFmtId="0" fontId="3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5" xfId="0" applyBorder="1">
      <alignment vertical="center"/>
    </xf>
    <xf numFmtId="0" fontId="2" fillId="0" borderId="15" xfId="0" applyFont="1" applyBorder="1">
      <alignment vertical="center"/>
    </xf>
    <xf numFmtId="0" fontId="0" fillId="0" borderId="17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1</xdr:row>
          <xdr:rowOff>57150</xdr:rowOff>
        </xdr:from>
        <xdr:to>
          <xdr:col>14</xdr:col>
          <xdr:colOff>495300</xdr:colOff>
          <xdr:row>3</xdr:row>
          <xdr:rowOff>120650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/>
  <dimension ref="A1:H27"/>
  <sheetViews>
    <sheetView showGridLines="0" zoomScaleNormal="100" workbookViewId="0"/>
  </sheetViews>
  <sheetFormatPr defaultRowHeight="18" x14ac:dyDescent="0.55000000000000004"/>
  <cols>
    <col min="1" max="1" width="8.33203125" customWidth="1"/>
    <col min="2" max="2" width="29.6640625" style="1" customWidth="1"/>
    <col min="3" max="3" width="10" style="1" customWidth="1"/>
    <col min="4" max="4" width="1.25" customWidth="1"/>
    <col min="5" max="5" width="16.25" customWidth="1"/>
    <col min="6" max="6" width="1" customWidth="1"/>
    <col min="7" max="7" width="8.6640625" customWidth="1"/>
    <col min="8" max="8" width="8.4140625" hidden="1" customWidth="1"/>
  </cols>
  <sheetData>
    <row r="1" spans="1:8" ht="7.5" customHeight="1" x14ac:dyDescent="0.55000000000000004">
      <c r="A1" s="7"/>
      <c r="B1" s="8"/>
      <c r="C1" s="8"/>
      <c r="D1" s="9"/>
      <c r="E1" s="9"/>
      <c r="G1" s="61"/>
    </row>
    <row r="2" spans="1:8" ht="20" x14ac:dyDescent="0.55000000000000004">
      <c r="A2" s="10"/>
      <c r="B2" s="2" t="s">
        <v>112</v>
      </c>
      <c r="C2" s="51" t="s">
        <v>120</v>
      </c>
      <c r="G2" s="61"/>
    </row>
    <row r="3" spans="1:8" s="3" customFormat="1" ht="20" x14ac:dyDescent="0.55000000000000004">
      <c r="A3" s="48">
        <v>1</v>
      </c>
      <c r="B3" s="49" t="s">
        <v>112</v>
      </c>
      <c r="C3" s="52"/>
      <c r="E3" s="58" t="s">
        <v>159</v>
      </c>
      <c r="G3" s="62"/>
      <c r="H3" s="3">
        <f>IF(C3="", 0,IF(C3=1,15,IF(C3=2,12,13-C3)))</f>
        <v>0</v>
      </c>
    </row>
    <row r="4" spans="1:8" s="3" customFormat="1" ht="20" x14ac:dyDescent="0.55000000000000004">
      <c r="A4" s="50">
        <v>2</v>
      </c>
      <c r="B4" s="60" t="s">
        <v>112</v>
      </c>
      <c r="C4" s="53"/>
      <c r="E4" s="58"/>
      <c r="G4" s="62"/>
      <c r="H4" s="3">
        <f t="shared" ref="H4:H12" si="0">IF(C4="", 0,IF(C4=1,15,IF(C4=2,12,13-C4)))</f>
        <v>0</v>
      </c>
    </row>
    <row r="5" spans="1:8" s="3" customFormat="1" ht="20" x14ac:dyDescent="0.55000000000000004">
      <c r="A5" s="50">
        <v>3</v>
      </c>
      <c r="B5" s="60" t="s">
        <v>112</v>
      </c>
      <c r="C5" s="54"/>
      <c r="E5" s="58"/>
      <c r="G5" s="62"/>
      <c r="H5" s="3">
        <f t="shared" si="0"/>
        <v>0</v>
      </c>
    </row>
    <row r="6" spans="1:8" s="3" customFormat="1" ht="20" x14ac:dyDescent="0.55000000000000004">
      <c r="A6" s="50">
        <v>4</v>
      </c>
      <c r="B6" s="60" t="s">
        <v>112</v>
      </c>
      <c r="C6" s="55"/>
      <c r="E6" s="58"/>
      <c r="G6" s="62"/>
      <c r="H6" s="3">
        <f t="shared" si="0"/>
        <v>0</v>
      </c>
    </row>
    <row r="7" spans="1:8" s="3" customFormat="1" ht="20" x14ac:dyDescent="0.55000000000000004">
      <c r="A7" s="50">
        <v>5</v>
      </c>
      <c r="B7" s="60" t="s">
        <v>112</v>
      </c>
      <c r="C7" s="55"/>
      <c r="E7" s="58"/>
      <c r="G7" s="62"/>
      <c r="H7" s="3">
        <f t="shared" si="0"/>
        <v>0</v>
      </c>
    </row>
    <row r="8" spans="1:8" s="3" customFormat="1" ht="20" x14ac:dyDescent="0.55000000000000004">
      <c r="A8" s="50">
        <v>6</v>
      </c>
      <c r="B8" s="60" t="s">
        <v>112</v>
      </c>
      <c r="C8" s="55"/>
      <c r="E8" s="58"/>
      <c r="G8" s="62"/>
      <c r="H8" s="3">
        <f t="shared" si="0"/>
        <v>0</v>
      </c>
    </row>
    <row r="9" spans="1:8" s="3" customFormat="1" ht="20" x14ac:dyDescent="0.55000000000000004">
      <c r="A9" s="50">
        <v>7</v>
      </c>
      <c r="B9" s="60" t="s">
        <v>112</v>
      </c>
      <c r="C9" s="53"/>
      <c r="E9" s="58"/>
      <c r="G9" s="62"/>
      <c r="H9" s="3">
        <f>IF(C9="", 0,IF(C9=1,15,IF(C9=2,12,13-C9)))</f>
        <v>0</v>
      </c>
    </row>
    <row r="10" spans="1:8" s="3" customFormat="1" ht="20" x14ac:dyDescent="0.55000000000000004">
      <c r="A10" s="50">
        <v>8</v>
      </c>
      <c r="B10" s="60" t="s">
        <v>112</v>
      </c>
      <c r="C10" s="54"/>
      <c r="E10" s="58"/>
      <c r="G10" s="62"/>
      <c r="H10" s="3">
        <f>IF(C10="", 0,IF(C10=1,15,IF(C10=2,12,13-C10)))</f>
        <v>0</v>
      </c>
    </row>
    <row r="11" spans="1:8" s="3" customFormat="1" ht="20" x14ac:dyDescent="0.55000000000000004">
      <c r="A11" s="50">
        <v>9</v>
      </c>
      <c r="B11" s="60" t="s">
        <v>112</v>
      </c>
      <c r="C11" s="54"/>
      <c r="E11" s="58"/>
      <c r="G11" s="62"/>
      <c r="H11" s="3">
        <f t="shared" si="0"/>
        <v>0</v>
      </c>
    </row>
    <row r="12" spans="1:8" s="3" customFormat="1" ht="20" x14ac:dyDescent="0.55000000000000004">
      <c r="A12" s="50">
        <v>10</v>
      </c>
      <c r="B12" s="60" t="s">
        <v>112</v>
      </c>
      <c r="C12" s="54"/>
      <c r="G12" s="62"/>
      <c r="H12" s="3">
        <f t="shared" si="0"/>
        <v>0</v>
      </c>
    </row>
    <row r="13" spans="1:8" s="3" customFormat="1" ht="20" x14ac:dyDescent="0.55000000000000004">
      <c r="A13" s="50">
        <v>11</v>
      </c>
      <c r="B13" s="60" t="s">
        <v>112</v>
      </c>
      <c r="C13" s="54"/>
      <c r="G13" s="62"/>
      <c r="H13" s="3">
        <f>IF(C13="", 0,IF(C13=1,15,IF(C13=2,12,13-C13)))</f>
        <v>0</v>
      </c>
    </row>
    <row r="14" spans="1:8" s="3" customFormat="1" ht="20" x14ac:dyDescent="0.55000000000000004">
      <c r="A14" s="39">
        <v>12</v>
      </c>
      <c r="B14" s="59" t="s">
        <v>112</v>
      </c>
      <c r="C14" s="56"/>
      <c r="G14" s="62"/>
      <c r="H14" s="3">
        <f>IF(C14="", 0,IF(C14=1,15,IF(C14=2,12,13-C14)))</f>
        <v>0</v>
      </c>
    </row>
    <row r="15" spans="1:8" x14ac:dyDescent="0.55000000000000004">
      <c r="A15" s="37" t="s">
        <v>155</v>
      </c>
      <c r="B15" s="1" t="s">
        <v>146</v>
      </c>
      <c r="C15" s="57">
        <f>SUM(H3:H14)</f>
        <v>0</v>
      </c>
      <c r="G15" s="61"/>
    </row>
    <row r="16" spans="1:8" ht="9" customHeight="1" thickBot="1" x14ac:dyDescent="0.6">
      <c r="A16" s="63"/>
      <c r="B16" s="64"/>
      <c r="C16" s="64"/>
      <c r="D16" s="63"/>
      <c r="E16" s="63"/>
      <c r="F16" s="65"/>
      <c r="G16" s="61"/>
    </row>
    <row r="17" spans="1:3" ht="7.5" customHeight="1" x14ac:dyDescent="0.55000000000000004"/>
    <row r="18" spans="1:3" ht="15.5" customHeight="1" x14ac:dyDescent="0.55000000000000004">
      <c r="A18" s="66" t="s">
        <v>160</v>
      </c>
      <c r="B18" s="66"/>
      <c r="C18" s="66"/>
    </row>
    <row r="19" spans="1:3" x14ac:dyDescent="0.55000000000000004">
      <c r="A19" s="42" t="s">
        <v>157</v>
      </c>
      <c r="B19" s="45"/>
      <c r="C19" s="40"/>
    </row>
    <row r="20" spans="1:3" x14ac:dyDescent="0.55000000000000004">
      <c r="A20" s="43"/>
      <c r="B20" s="46"/>
      <c r="C20" s="40"/>
    </row>
    <row r="21" spans="1:3" x14ac:dyDescent="0.55000000000000004">
      <c r="A21" s="43"/>
      <c r="B21" s="46"/>
      <c r="C21" s="40"/>
    </row>
    <row r="22" spans="1:3" x14ac:dyDescent="0.55000000000000004">
      <c r="A22" s="43"/>
      <c r="B22" s="46"/>
      <c r="C22" s="40"/>
    </row>
    <row r="23" spans="1:3" x14ac:dyDescent="0.55000000000000004">
      <c r="A23" s="43"/>
      <c r="B23" s="46"/>
      <c r="C23" s="40"/>
    </row>
    <row r="24" spans="1:3" x14ac:dyDescent="0.55000000000000004">
      <c r="A24" s="43"/>
      <c r="B24" s="46"/>
      <c r="C24" s="40"/>
    </row>
    <row r="25" spans="1:3" x14ac:dyDescent="0.55000000000000004">
      <c r="A25" s="43"/>
      <c r="B25" s="46"/>
      <c r="C25" s="40"/>
    </row>
    <row r="26" spans="1:3" x14ac:dyDescent="0.55000000000000004">
      <c r="A26" s="43"/>
      <c r="B26" s="46"/>
      <c r="C26" s="40"/>
    </row>
    <row r="27" spans="1:3" x14ac:dyDescent="0.55000000000000004">
      <c r="A27" s="44" t="s">
        <v>158</v>
      </c>
      <c r="B27" s="47"/>
      <c r="C27" s="41"/>
    </row>
  </sheetData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r:id="rId9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/>
  <dimension ref="B2:O24"/>
  <sheetViews>
    <sheetView showGridLines="0" zoomScaleNormal="100" workbookViewId="0"/>
  </sheetViews>
  <sheetFormatPr defaultRowHeight="18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</cols>
  <sheetData>
    <row r="2" spans="2:15" ht="20" x14ac:dyDescent="0.55000000000000004">
      <c r="B2" s="67" t="s">
        <v>132</v>
      </c>
      <c r="C2" s="67"/>
      <c r="D2" s="68"/>
      <c r="F2" s="75" t="s">
        <v>134</v>
      </c>
      <c r="G2" s="75"/>
      <c r="H2" s="75"/>
      <c r="I2" s="15"/>
      <c r="J2" s="73" t="s">
        <v>156</v>
      </c>
      <c r="K2" s="73"/>
      <c r="L2" s="74"/>
      <c r="N2" s="38"/>
      <c r="O2" s="38"/>
    </row>
    <row r="3" spans="2:15" s="11" customFormat="1" ht="20" x14ac:dyDescent="0.55000000000000004">
      <c r="B3" s="32" t="s">
        <v>122</v>
      </c>
      <c r="C3" s="31"/>
      <c r="D3" s="33"/>
      <c r="F3" s="34" t="s">
        <v>122</v>
      </c>
      <c r="G3" s="31"/>
      <c r="H3" s="35"/>
      <c r="I3" s="13"/>
      <c r="J3" s="34" t="s">
        <v>122</v>
      </c>
      <c r="K3" s="31"/>
      <c r="L3" s="36"/>
      <c r="N3" s="30"/>
      <c r="O3" s="30"/>
    </row>
    <row r="4" spans="2:15" s="11" customFormat="1" ht="20" x14ac:dyDescent="0.55000000000000004">
      <c r="B4" s="18" t="s">
        <v>123</v>
      </c>
      <c r="C4" s="19"/>
      <c r="D4" s="20"/>
      <c r="F4" s="18" t="s">
        <v>123</v>
      </c>
      <c r="G4" s="19"/>
      <c r="H4" s="24"/>
      <c r="I4" s="14"/>
      <c r="J4" s="18" t="s">
        <v>123</v>
      </c>
      <c r="K4" s="19"/>
      <c r="L4" s="28"/>
      <c r="M4" s="30"/>
      <c r="N4" s="30"/>
      <c r="O4" s="30"/>
    </row>
    <row r="5" spans="2:15" s="11" customFormat="1" ht="20" x14ac:dyDescent="0.55000000000000004">
      <c r="B5" s="12" t="s">
        <v>124</v>
      </c>
      <c r="C5" s="14"/>
      <c r="D5" s="16"/>
      <c r="F5" s="12" t="s">
        <v>124</v>
      </c>
      <c r="G5" s="14"/>
      <c r="H5" s="17"/>
      <c r="I5" s="14"/>
      <c r="J5" s="12" t="s">
        <v>124</v>
      </c>
      <c r="K5" s="14"/>
      <c r="L5" s="27"/>
    </row>
    <row r="6" spans="2:15" s="11" customFormat="1" ht="20" x14ac:dyDescent="0.55000000000000004">
      <c r="B6" s="18" t="s">
        <v>125</v>
      </c>
      <c r="C6" s="19"/>
      <c r="D6" s="20"/>
      <c r="F6" s="18" t="s">
        <v>125</v>
      </c>
      <c r="G6" s="19"/>
      <c r="H6" s="24"/>
      <c r="I6" s="14"/>
      <c r="J6" s="18" t="s">
        <v>125</v>
      </c>
      <c r="K6" s="19"/>
      <c r="L6" s="28"/>
    </row>
    <row r="7" spans="2:15" s="11" customFormat="1" ht="20" x14ac:dyDescent="0.55000000000000004">
      <c r="B7" s="12" t="s">
        <v>126</v>
      </c>
      <c r="C7" s="14"/>
      <c r="D7" s="16"/>
      <c r="F7" s="12" t="s">
        <v>126</v>
      </c>
      <c r="G7" s="14"/>
      <c r="H7" s="17"/>
      <c r="I7" s="14"/>
      <c r="J7" s="12" t="s">
        <v>126</v>
      </c>
      <c r="K7" s="14"/>
      <c r="L7" s="27"/>
    </row>
    <row r="8" spans="2:15" s="11" customFormat="1" ht="20" x14ac:dyDescent="0.55000000000000004">
      <c r="B8" s="18" t="s">
        <v>127</v>
      </c>
      <c r="C8" s="19"/>
      <c r="D8" s="20"/>
      <c r="F8" s="18" t="s">
        <v>127</v>
      </c>
      <c r="G8" s="19"/>
      <c r="H8" s="24"/>
      <c r="I8" s="14"/>
      <c r="J8" s="18" t="s">
        <v>127</v>
      </c>
      <c r="K8" s="19"/>
      <c r="L8" s="28"/>
    </row>
    <row r="9" spans="2:15" s="11" customFormat="1" ht="20" x14ac:dyDescent="0.55000000000000004">
      <c r="B9" s="12" t="s">
        <v>128</v>
      </c>
      <c r="C9" s="14"/>
      <c r="D9" s="16"/>
      <c r="F9" s="12" t="s">
        <v>128</v>
      </c>
      <c r="G9" s="14"/>
      <c r="H9" s="17"/>
      <c r="I9" s="14"/>
      <c r="J9" s="12" t="s">
        <v>128</v>
      </c>
      <c r="K9" s="14"/>
      <c r="L9" s="27"/>
    </row>
    <row r="10" spans="2:15" s="11" customFormat="1" ht="20" x14ac:dyDescent="0.55000000000000004">
      <c r="B10" s="18" t="s">
        <v>129</v>
      </c>
      <c r="C10" s="19"/>
      <c r="D10" s="20"/>
      <c r="F10" s="18" t="s">
        <v>129</v>
      </c>
      <c r="G10" s="19"/>
      <c r="H10" s="24"/>
      <c r="I10" s="14"/>
      <c r="J10" s="18" t="s">
        <v>129</v>
      </c>
      <c r="K10" s="19"/>
      <c r="L10" s="28"/>
    </row>
    <row r="11" spans="2:15" s="11" customFormat="1" ht="20" x14ac:dyDescent="0.55000000000000004">
      <c r="B11" s="12" t="s">
        <v>130</v>
      </c>
      <c r="C11" s="14"/>
      <c r="D11" s="16"/>
      <c r="F11" s="12" t="s">
        <v>130</v>
      </c>
      <c r="G11" s="14"/>
      <c r="H11" s="17"/>
      <c r="I11" s="14"/>
      <c r="J11" s="12" t="s">
        <v>130</v>
      </c>
      <c r="K11" s="14"/>
      <c r="L11" s="27"/>
    </row>
    <row r="12" spans="2:15" s="11" customFormat="1" ht="20" x14ac:dyDescent="0.55000000000000004">
      <c r="B12" s="21" t="s">
        <v>131</v>
      </c>
      <c r="C12" s="22"/>
      <c r="D12" s="23"/>
      <c r="F12" s="21" t="s">
        <v>131</v>
      </c>
      <c r="G12" s="22"/>
      <c r="H12" s="25"/>
      <c r="I12" s="14"/>
      <c r="J12" s="21" t="s">
        <v>131</v>
      </c>
      <c r="K12" s="22"/>
      <c r="L12" s="29"/>
    </row>
    <row r="14" spans="2:15" ht="20" x14ac:dyDescent="0.55000000000000004">
      <c r="B14" s="69" t="s">
        <v>133</v>
      </c>
      <c r="C14" s="69"/>
      <c r="D14" s="70"/>
      <c r="F14" s="71" t="s">
        <v>135</v>
      </c>
      <c r="G14" s="71"/>
      <c r="H14" s="72"/>
      <c r="I14" s="15"/>
      <c r="J14" s="76" t="s">
        <v>137</v>
      </c>
      <c r="K14" s="76"/>
      <c r="L14" s="77"/>
    </row>
    <row r="15" spans="2:15" ht="20" x14ac:dyDescent="0.55000000000000004">
      <c r="B15" s="32" t="s">
        <v>122</v>
      </c>
      <c r="C15" s="31"/>
      <c r="D15" s="33"/>
      <c r="F15" s="32" t="s">
        <v>122</v>
      </c>
      <c r="G15" s="31"/>
      <c r="H15" s="35"/>
      <c r="I15" s="13"/>
      <c r="J15" s="34" t="s">
        <v>122</v>
      </c>
      <c r="K15" s="31"/>
      <c r="L15" s="36"/>
    </row>
    <row r="16" spans="2:15" ht="20" x14ac:dyDescent="0.55000000000000004">
      <c r="B16" s="18" t="s">
        <v>123</v>
      </c>
      <c r="C16" s="19"/>
      <c r="D16" s="20"/>
      <c r="F16" s="18" t="s">
        <v>123</v>
      </c>
      <c r="G16" s="19"/>
      <c r="H16" s="24"/>
      <c r="I16" s="14"/>
      <c r="J16" s="18" t="s">
        <v>123</v>
      </c>
      <c r="K16" s="19"/>
      <c r="L16" s="28"/>
    </row>
    <row r="17" spans="2:12" ht="20" x14ac:dyDescent="0.55000000000000004">
      <c r="B17" s="12" t="s">
        <v>124</v>
      </c>
      <c r="C17" s="14"/>
      <c r="D17" s="16"/>
      <c r="F17" s="12" t="s">
        <v>124</v>
      </c>
      <c r="G17" s="14"/>
      <c r="H17" s="17"/>
      <c r="I17" s="14"/>
      <c r="J17" s="12" t="s">
        <v>124</v>
      </c>
      <c r="K17" s="14"/>
      <c r="L17" s="27"/>
    </row>
    <row r="18" spans="2:12" ht="20" x14ac:dyDescent="0.55000000000000004">
      <c r="B18" s="18" t="s">
        <v>125</v>
      </c>
      <c r="C18" s="19"/>
      <c r="D18" s="20"/>
      <c r="F18" s="18" t="s">
        <v>125</v>
      </c>
      <c r="G18" s="19"/>
      <c r="H18" s="24"/>
      <c r="I18" s="14"/>
      <c r="J18" s="18" t="s">
        <v>125</v>
      </c>
      <c r="K18" s="19"/>
      <c r="L18" s="28"/>
    </row>
    <row r="19" spans="2:12" ht="20" x14ac:dyDescent="0.55000000000000004">
      <c r="B19" s="12" t="s">
        <v>126</v>
      </c>
      <c r="C19" s="14"/>
      <c r="D19" s="16"/>
      <c r="F19" s="12" t="s">
        <v>126</v>
      </c>
      <c r="G19" s="14"/>
      <c r="H19" s="17"/>
      <c r="I19" s="14"/>
      <c r="J19" s="12" t="s">
        <v>126</v>
      </c>
      <c r="K19" s="14"/>
      <c r="L19" s="27"/>
    </row>
    <row r="20" spans="2:12" ht="20" x14ac:dyDescent="0.55000000000000004">
      <c r="B20" s="18" t="s">
        <v>127</v>
      </c>
      <c r="C20" s="19"/>
      <c r="D20" s="20"/>
      <c r="F20" s="18" t="s">
        <v>127</v>
      </c>
      <c r="G20" s="19"/>
      <c r="H20" s="24"/>
      <c r="I20" s="14"/>
      <c r="J20" s="18" t="s">
        <v>127</v>
      </c>
      <c r="K20" s="19"/>
      <c r="L20" s="28"/>
    </row>
    <row r="21" spans="2:12" ht="20" x14ac:dyDescent="0.55000000000000004">
      <c r="B21" s="12" t="s">
        <v>128</v>
      </c>
      <c r="C21" s="14"/>
      <c r="D21" s="16"/>
      <c r="F21" s="12" t="s">
        <v>128</v>
      </c>
      <c r="G21" s="14"/>
      <c r="H21" s="17"/>
      <c r="I21" s="14"/>
      <c r="J21" s="12" t="s">
        <v>128</v>
      </c>
      <c r="K21" s="14"/>
      <c r="L21" s="27"/>
    </row>
    <row r="22" spans="2:12" ht="20" x14ac:dyDescent="0.55000000000000004">
      <c r="B22" s="18" t="s">
        <v>129</v>
      </c>
      <c r="C22" s="19"/>
      <c r="D22" s="20"/>
      <c r="F22" s="18" t="s">
        <v>129</v>
      </c>
      <c r="G22" s="19"/>
      <c r="H22" s="24"/>
      <c r="I22" s="14"/>
      <c r="J22" s="18" t="s">
        <v>129</v>
      </c>
      <c r="K22" s="19"/>
      <c r="L22" s="28"/>
    </row>
    <row r="23" spans="2:12" ht="20" x14ac:dyDescent="0.55000000000000004">
      <c r="B23" s="12" t="s">
        <v>130</v>
      </c>
      <c r="C23" s="14"/>
      <c r="D23" s="16"/>
      <c r="F23" s="12" t="s">
        <v>130</v>
      </c>
      <c r="G23" s="14"/>
      <c r="H23" s="17"/>
      <c r="I23" s="14"/>
      <c r="J23" s="12" t="s">
        <v>130</v>
      </c>
      <c r="K23" s="14"/>
      <c r="L23" s="27"/>
    </row>
    <row r="24" spans="2:12" ht="20" x14ac:dyDescent="0.55000000000000004">
      <c r="B24" s="21" t="s">
        <v>131</v>
      </c>
      <c r="C24" s="22"/>
      <c r="D24" s="23"/>
      <c r="F24" s="21" t="s">
        <v>131</v>
      </c>
      <c r="G24" s="22"/>
      <c r="H24" s="25"/>
      <c r="I24" s="14"/>
      <c r="J24" s="21" t="s">
        <v>131</v>
      </c>
      <c r="K24" s="22"/>
      <c r="L24" s="29"/>
    </row>
  </sheetData>
  <mergeCells count="6">
    <mergeCell ref="B2:D2"/>
    <mergeCell ref="B14:D14"/>
    <mergeCell ref="F14:H14"/>
    <mergeCell ref="J2:L2"/>
    <mergeCell ref="F2:H2"/>
    <mergeCell ref="J14:L14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13</xdr:col>
                <xdr:colOff>101600</xdr:colOff>
                <xdr:row>1</xdr:row>
                <xdr:rowOff>57150</xdr:rowOff>
              </from>
              <to>
                <xdr:col>14</xdr:col>
                <xdr:colOff>495300</xdr:colOff>
                <xdr:row>3</xdr:row>
                <xdr:rowOff>120650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/>
  <dimension ref="A1:I65"/>
  <sheetViews>
    <sheetView tabSelected="1" workbookViewId="0">
      <pane ySplit="1" topLeftCell="A2" activePane="bottomLeft" state="frozen"/>
      <selection pane="bottomLeft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0</v>
      </c>
    </row>
    <row r="2" spans="1:9" x14ac:dyDescent="0.55000000000000004">
      <c r="A2" t="s">
        <v>0</v>
      </c>
      <c r="B2">
        <v>0</v>
      </c>
      <c r="C2">
        <v>0</v>
      </c>
      <c r="D2">
        <v>0</v>
      </c>
      <c r="E2" s="4" t="str">
        <f>IF($D2=0, "-",B2/$D2)</f>
        <v>-</v>
      </c>
      <c r="F2" s="4" t="str">
        <f>IF($D2=0, "-",C2/$D2)</f>
        <v>-</v>
      </c>
      <c r="G2" s="26" t="str">
        <f t="shared" ref="G2:G33" si="0">IF(E2="-", "-", E2+F2-13)</f>
        <v>-</v>
      </c>
    </row>
    <row r="3" spans="1:9" x14ac:dyDescent="0.55000000000000004">
      <c r="A3" t="s">
        <v>1</v>
      </c>
      <c r="B3">
        <v>0</v>
      </c>
      <c r="C3">
        <v>0</v>
      </c>
      <c r="D3">
        <v>0</v>
      </c>
      <c r="E3" s="4" t="str">
        <f>IF($D3=0, "-",B3/$D3)</f>
        <v>-</v>
      </c>
      <c r="F3" s="4" t="str">
        <f>IF($D3=0, "-",C3/$D3)</f>
        <v>-</v>
      </c>
      <c r="G3" s="26" t="str">
        <f t="shared" si="0"/>
        <v>-</v>
      </c>
    </row>
    <row r="4" spans="1:9" x14ac:dyDescent="0.55000000000000004">
      <c r="A4" t="s">
        <v>2</v>
      </c>
      <c r="B4">
        <v>0</v>
      </c>
      <c r="C4">
        <v>0</v>
      </c>
      <c r="D4">
        <v>0</v>
      </c>
      <c r="E4" s="4" t="str">
        <f>IF($D4=0, "-",B4/$D4)</f>
        <v>-</v>
      </c>
      <c r="F4" s="4" t="str">
        <f>IF($D4=0, "-",C4/$D4)</f>
        <v>-</v>
      </c>
      <c r="G4" s="26" t="str">
        <f t="shared" si="0"/>
        <v>-</v>
      </c>
    </row>
    <row r="5" spans="1:9" x14ac:dyDescent="0.55000000000000004">
      <c r="A5" t="s">
        <v>3</v>
      </c>
      <c r="B5">
        <v>0</v>
      </c>
      <c r="C5">
        <v>0</v>
      </c>
      <c r="D5">
        <v>0</v>
      </c>
      <c r="E5" s="4" t="str">
        <f>IF($D5=0, "-",B5/$D5)</f>
        <v>-</v>
      </c>
      <c r="F5" s="4" t="str">
        <f>IF($D5=0, "-",C5/$D5)</f>
        <v>-</v>
      </c>
      <c r="G5" s="26" t="str">
        <f t="shared" si="0"/>
        <v>-</v>
      </c>
    </row>
    <row r="6" spans="1:9" x14ac:dyDescent="0.55000000000000004">
      <c r="A6" t="s">
        <v>4</v>
      </c>
      <c r="B6">
        <v>0</v>
      </c>
      <c r="C6">
        <v>0</v>
      </c>
      <c r="D6">
        <v>0</v>
      </c>
      <c r="E6" s="4" t="str">
        <f>IF($D6=0, "-",B6/$D6)</f>
        <v>-</v>
      </c>
      <c r="F6" s="4" t="str">
        <f>IF($D6=0, "-",C6/$D6)</f>
        <v>-</v>
      </c>
      <c r="G6" s="26" t="str">
        <f t="shared" si="0"/>
        <v>-</v>
      </c>
    </row>
    <row r="7" spans="1:9" x14ac:dyDescent="0.55000000000000004">
      <c r="A7" t="s">
        <v>5</v>
      </c>
      <c r="B7">
        <v>0</v>
      </c>
      <c r="C7">
        <v>0</v>
      </c>
      <c r="D7">
        <v>0</v>
      </c>
      <c r="E7" s="4" t="str">
        <f>IF($D7=0, "-",B7/$D7)</f>
        <v>-</v>
      </c>
      <c r="F7" s="4" t="str">
        <f>IF($D7=0, "-",C7/$D7)</f>
        <v>-</v>
      </c>
      <c r="G7" s="26" t="str">
        <f t="shared" si="0"/>
        <v>-</v>
      </c>
    </row>
    <row r="8" spans="1:9" x14ac:dyDescent="0.55000000000000004">
      <c r="A8" t="s">
        <v>6</v>
      </c>
      <c r="B8">
        <v>0</v>
      </c>
      <c r="C8">
        <v>0</v>
      </c>
      <c r="D8">
        <v>0</v>
      </c>
      <c r="E8" s="4" t="str">
        <f>IF($D8=0, "-",B8/$D8)</f>
        <v>-</v>
      </c>
      <c r="F8" s="4" t="str">
        <f>IF($D8=0, "-",C8/$D8)</f>
        <v>-</v>
      </c>
      <c r="G8" s="26" t="str">
        <f t="shared" si="0"/>
        <v>-</v>
      </c>
    </row>
    <row r="9" spans="1:9" x14ac:dyDescent="0.55000000000000004">
      <c r="A9" t="s">
        <v>7</v>
      </c>
      <c r="B9">
        <v>0</v>
      </c>
      <c r="C9">
        <v>0</v>
      </c>
      <c r="D9">
        <v>0</v>
      </c>
      <c r="E9" s="4" t="str">
        <f>IF($D9=0, "-",B9/$D9)</f>
        <v>-</v>
      </c>
      <c r="F9" s="4" t="str">
        <f>IF($D9=0, "-",C9/$D9)</f>
        <v>-</v>
      </c>
      <c r="G9" s="26" t="str">
        <f t="shared" si="0"/>
        <v>-</v>
      </c>
    </row>
    <row r="10" spans="1:9" x14ac:dyDescent="0.55000000000000004">
      <c r="A10" t="s">
        <v>8</v>
      </c>
      <c r="B10">
        <v>0</v>
      </c>
      <c r="C10">
        <v>0</v>
      </c>
      <c r="D10">
        <v>0</v>
      </c>
      <c r="E10" s="4" t="str">
        <f>IF($D10=0, "-",B10/$D10)</f>
        <v>-</v>
      </c>
      <c r="F10" s="4" t="str">
        <f>IF($D10=0, "-",C10/$D10)</f>
        <v>-</v>
      </c>
      <c r="G10" s="26" t="str">
        <f t="shared" si="0"/>
        <v>-</v>
      </c>
    </row>
    <row r="11" spans="1:9" x14ac:dyDescent="0.55000000000000004">
      <c r="A11" t="s">
        <v>9</v>
      </c>
      <c r="B11">
        <v>0</v>
      </c>
      <c r="C11">
        <v>0</v>
      </c>
      <c r="D11">
        <v>0</v>
      </c>
      <c r="E11" s="4" t="str">
        <f>IF($D11=0, "-",B11/$D11)</f>
        <v>-</v>
      </c>
      <c r="F11" s="4" t="str">
        <f>IF($D11=0, "-",C11/$D11)</f>
        <v>-</v>
      </c>
      <c r="G11" s="26" t="str">
        <f t="shared" si="0"/>
        <v>-</v>
      </c>
    </row>
    <row r="12" spans="1:9" x14ac:dyDescent="0.55000000000000004">
      <c r="A12" t="s">
        <v>10</v>
      </c>
      <c r="B12">
        <v>0</v>
      </c>
      <c r="C12">
        <v>0</v>
      </c>
      <c r="D12">
        <v>0</v>
      </c>
      <c r="E12" s="4" t="str">
        <f>IF($D12=0, "-",B12/$D12)</f>
        <v>-</v>
      </c>
      <c r="F12" s="4" t="str">
        <f>IF($D12=0, "-",C12/$D12)</f>
        <v>-</v>
      </c>
      <c r="G12" s="26" t="str">
        <f t="shared" si="0"/>
        <v>-</v>
      </c>
    </row>
    <row r="13" spans="1:9" x14ac:dyDescent="0.55000000000000004">
      <c r="A13" t="s">
        <v>11</v>
      </c>
      <c r="B13">
        <v>0</v>
      </c>
      <c r="C13">
        <v>0</v>
      </c>
      <c r="D13">
        <v>0</v>
      </c>
      <c r="E13" s="4" t="str">
        <f>IF($D13=0, "-",B13/$D13)</f>
        <v>-</v>
      </c>
      <c r="F13" s="4" t="str">
        <f>IF($D13=0, "-",C13/$D13)</f>
        <v>-</v>
      </c>
      <c r="G13" s="26" t="str">
        <f t="shared" si="0"/>
        <v>-</v>
      </c>
    </row>
    <row r="14" spans="1:9" x14ac:dyDescent="0.55000000000000004">
      <c r="A14" t="s">
        <v>12</v>
      </c>
      <c r="B14">
        <v>0</v>
      </c>
      <c r="C14">
        <v>0</v>
      </c>
      <c r="D14">
        <v>0</v>
      </c>
      <c r="E14" s="4" t="str">
        <f>IF($D14=0, "-",B14/$D14)</f>
        <v>-</v>
      </c>
      <c r="F14" s="4" t="str">
        <f>IF($D14=0, "-",C14/$D14)</f>
        <v>-</v>
      </c>
      <c r="G14" s="26" t="str">
        <f t="shared" si="0"/>
        <v>-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>IF($D15=0, "-",B15/$D15)</f>
        <v>-</v>
      </c>
      <c r="F15" s="4" t="str">
        <f>IF($D15=0, "-",C15/$D15)</f>
        <v>-</v>
      </c>
      <c r="G15" s="26" t="str">
        <f t="shared" si="0"/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>IF($D16=0, "-",B16/$D16)</f>
        <v>-</v>
      </c>
      <c r="F16" s="4" t="str">
        <f>IF($D16=0, "-",C16/$D16)</f>
        <v>-</v>
      </c>
      <c r="G16" s="26" t="str">
        <f t="shared" si="0"/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>IF($D17=0, "-",B17/$D17)</f>
        <v>-</v>
      </c>
      <c r="F17" s="4" t="str">
        <f>IF($D17=0, "-",C17/$D17)</f>
        <v>-</v>
      </c>
      <c r="G17" s="26" t="str">
        <f t="shared" si="0"/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>IF($D18=0, "-",B18/$D18)</f>
        <v>-</v>
      </c>
      <c r="F18" s="4" t="str">
        <f>IF($D18=0, "-",C18/$D18)</f>
        <v>-</v>
      </c>
      <c r="G18" s="26" t="str">
        <f t="shared" si="0"/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>IF($D19=0, "-",B19/$D19)</f>
        <v>-</v>
      </c>
      <c r="F19" s="4" t="str">
        <f>IF($D19=0, "-",C19/$D19)</f>
        <v>-</v>
      </c>
      <c r="G19" s="26" t="str">
        <f t="shared" si="0"/>
        <v>-</v>
      </c>
    </row>
    <row r="20" spans="1:7" x14ac:dyDescent="0.55000000000000004">
      <c r="A20" t="s">
        <v>18</v>
      </c>
      <c r="B20">
        <v>0</v>
      </c>
      <c r="C20">
        <v>0</v>
      </c>
      <c r="D20">
        <v>0</v>
      </c>
      <c r="E20" s="4" t="str">
        <f>IF($D20=0, "-",B20/$D20)</f>
        <v>-</v>
      </c>
      <c r="F20" s="4" t="str">
        <f>IF($D20=0, "-",C20/$D20)</f>
        <v>-</v>
      </c>
      <c r="G20" s="26" t="str">
        <f t="shared" si="0"/>
        <v>-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>IF($D21=0, "-",B21/$D21)</f>
        <v>-</v>
      </c>
      <c r="F21" s="4" t="str">
        <f>IF($D21=0, "-",C21/$D21)</f>
        <v>-</v>
      </c>
      <c r="G21" s="26" t="str">
        <f t="shared" si="0"/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>IF($D22=0, "-",B22/$D22)</f>
        <v>-</v>
      </c>
      <c r="F22" s="4" t="str">
        <f>IF($D22=0, "-",C22/$D22)</f>
        <v>-</v>
      </c>
      <c r="G22" s="26" t="str">
        <f t="shared" si="0"/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>IF($D23=0, "-",B23/$D23)</f>
        <v>-</v>
      </c>
      <c r="F23" s="4" t="str">
        <f>IF($D23=0, "-",C23/$D23)</f>
        <v>-</v>
      </c>
      <c r="G23" s="26" t="str">
        <f t="shared" si="0"/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>IF($D24=0, "-",B24/$D24)</f>
        <v>-</v>
      </c>
      <c r="F24" s="4" t="str">
        <f>IF($D24=0, "-",C24/$D24)</f>
        <v>-</v>
      </c>
      <c r="G24" s="26" t="str">
        <f t="shared" si="0"/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>IF($D25=0, "-",B25/$D25)</f>
        <v>-</v>
      </c>
      <c r="F25" s="4" t="str">
        <f>IF($D25=0, "-",C25/$D25)</f>
        <v>-</v>
      </c>
      <c r="G25" s="26" t="str">
        <f t="shared" si="0"/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>IF($D26=0, "-",B26/$D26)</f>
        <v>-</v>
      </c>
      <c r="F26" s="4" t="str">
        <f>IF($D26=0, "-",C26/$D26)</f>
        <v>-</v>
      </c>
      <c r="G26" s="26" t="str">
        <f t="shared" si="0"/>
        <v>-</v>
      </c>
    </row>
    <row r="27" spans="1:7" x14ac:dyDescent="0.55000000000000004">
      <c r="A27" t="s">
        <v>25</v>
      </c>
      <c r="B27">
        <v>0</v>
      </c>
      <c r="C27">
        <v>0</v>
      </c>
      <c r="D27">
        <v>0</v>
      </c>
      <c r="E27" s="4" t="str">
        <f>IF($D27=0, "-",B27/$D27)</f>
        <v>-</v>
      </c>
      <c r="F27" s="4" t="str">
        <f>IF($D27=0, "-",C27/$D27)</f>
        <v>-</v>
      </c>
      <c r="G27" s="26" t="str">
        <f t="shared" si="0"/>
        <v>-</v>
      </c>
    </row>
    <row r="28" spans="1:7" x14ac:dyDescent="0.55000000000000004">
      <c r="A28" t="s">
        <v>26</v>
      </c>
      <c r="B28">
        <v>0</v>
      </c>
      <c r="C28">
        <v>0</v>
      </c>
      <c r="D28">
        <v>0</v>
      </c>
      <c r="E28" s="4" t="str">
        <f>IF($D28=0, "-",B28/$D28)</f>
        <v>-</v>
      </c>
      <c r="F28" s="4" t="str">
        <f>IF($D28=0, "-",C28/$D28)</f>
        <v>-</v>
      </c>
      <c r="G28" s="26" t="str">
        <f t="shared" si="0"/>
        <v>-</v>
      </c>
    </row>
    <row r="29" spans="1:7" x14ac:dyDescent="0.55000000000000004">
      <c r="A29" t="s">
        <v>27</v>
      </c>
      <c r="B29">
        <v>0</v>
      </c>
      <c r="C29">
        <v>0</v>
      </c>
      <c r="D29">
        <v>0</v>
      </c>
      <c r="E29" s="4" t="str">
        <f>IF($D29=0, "-",B29/$D29)</f>
        <v>-</v>
      </c>
      <c r="F29" s="4" t="str">
        <f>IF($D29=0, "-",C29/$D29)</f>
        <v>-</v>
      </c>
      <c r="G29" s="26" t="str">
        <f t="shared" si="0"/>
        <v>-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>IF($D30=0, "-",B30/$D30)</f>
        <v>-</v>
      </c>
      <c r="F30" s="4" t="str">
        <f>IF($D30=0, "-",C30/$D30)</f>
        <v>-</v>
      </c>
      <c r="G30" s="26" t="str">
        <f t="shared" si="0"/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>IF($D31=0, "-",B31/$D31)</f>
        <v>-</v>
      </c>
      <c r="F31" s="4" t="str">
        <f>IF($D31=0, "-",C31/$D31)</f>
        <v>-</v>
      </c>
      <c r="G31" s="26" t="str">
        <f t="shared" si="0"/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>IF($D32=0, "-",B32/$D32)</f>
        <v>-</v>
      </c>
      <c r="F32" s="4" t="str">
        <f>IF($D32=0, "-",C32/$D32)</f>
        <v>-</v>
      </c>
      <c r="G32" s="26" t="str">
        <f t="shared" si="0"/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>IF($D33=0, "-",B33/$D33)</f>
        <v>-</v>
      </c>
      <c r="F33" s="4" t="str">
        <f>IF($D33=0, "-",C33/$D33)</f>
        <v>-</v>
      </c>
      <c r="G33" s="26" t="str">
        <f t="shared" si="0"/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>IF($D34=0, "-",B34/$D34)</f>
        <v>-</v>
      </c>
      <c r="F34" s="4" t="str">
        <f>IF($D34=0, "-",C34/$D34)</f>
        <v>-</v>
      </c>
      <c r="G34" s="26" t="str">
        <f t="shared" ref="G34:G65" si="1"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>IF($D35=0, "-",B35/$D35)</f>
        <v>-</v>
      </c>
      <c r="F35" s="4" t="str">
        <f>IF($D35=0, "-",C35/$D35)</f>
        <v>-</v>
      </c>
      <c r="G35" s="26" t="str">
        <f t="shared" si="1"/>
        <v>-</v>
      </c>
    </row>
    <row r="36" spans="1:7" x14ac:dyDescent="0.55000000000000004">
      <c r="A36" t="s">
        <v>34</v>
      </c>
      <c r="B36">
        <v>0</v>
      </c>
      <c r="C36">
        <v>0</v>
      </c>
      <c r="D36">
        <v>0</v>
      </c>
      <c r="E36" s="4" t="str">
        <f>IF($D36=0, "-",B36/$D36)</f>
        <v>-</v>
      </c>
      <c r="F36" s="4" t="str">
        <f>IF($D36=0, "-",C36/$D36)</f>
        <v>-</v>
      </c>
      <c r="G36" s="26" t="str">
        <f t="shared" si="1"/>
        <v>-</v>
      </c>
    </row>
    <row r="37" spans="1:7" x14ac:dyDescent="0.55000000000000004">
      <c r="A37" t="s">
        <v>35</v>
      </c>
      <c r="B37">
        <v>0</v>
      </c>
      <c r="C37">
        <v>0</v>
      </c>
      <c r="D37">
        <v>0</v>
      </c>
      <c r="E37" s="4" t="str">
        <f>IF($D37=0, "-",B37/$D37)</f>
        <v>-</v>
      </c>
      <c r="F37" s="4" t="str">
        <f>IF($D37=0, "-",C37/$D37)</f>
        <v>-</v>
      </c>
      <c r="G37" s="26" t="str">
        <f t="shared" si="1"/>
        <v>-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>IF($D38=0, "-",B38/$D38)</f>
        <v>-</v>
      </c>
      <c r="F38" s="4" t="str">
        <f>IF($D38=0, "-",C38/$D38)</f>
        <v>-</v>
      </c>
      <c r="G38" s="26" t="str">
        <f t="shared" si="1"/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>IF($D39=0, "-",B39/$D39)</f>
        <v>-</v>
      </c>
      <c r="F39" s="4" t="str">
        <f>IF($D39=0, "-",C39/$D39)</f>
        <v>-</v>
      </c>
      <c r="G39" s="26" t="str">
        <f t="shared" si="1"/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>IF($D40=0, "-",B40/$D40)</f>
        <v>-</v>
      </c>
      <c r="F40" s="4" t="str">
        <f>IF($D40=0, "-",C40/$D40)</f>
        <v>-</v>
      </c>
      <c r="G40" s="26" t="str">
        <f t="shared" si="1"/>
        <v>-</v>
      </c>
    </row>
    <row r="41" spans="1:7" x14ac:dyDescent="0.55000000000000004">
      <c r="A41" t="s">
        <v>39</v>
      </c>
      <c r="B41">
        <v>0</v>
      </c>
      <c r="C41">
        <v>0</v>
      </c>
      <c r="D41">
        <v>0</v>
      </c>
      <c r="E41" s="4" t="str">
        <f>IF($D41=0, "-",B41/$D41)</f>
        <v>-</v>
      </c>
      <c r="F41" s="4" t="str">
        <f>IF($D41=0, "-",C41/$D41)</f>
        <v>-</v>
      </c>
      <c r="G41" s="26" t="str">
        <f t="shared" si="1"/>
        <v>-</v>
      </c>
    </row>
    <row r="42" spans="1:7" x14ac:dyDescent="0.55000000000000004">
      <c r="A42" t="s">
        <v>40</v>
      </c>
      <c r="B42">
        <v>0</v>
      </c>
      <c r="C42">
        <v>0</v>
      </c>
      <c r="D42">
        <v>0</v>
      </c>
      <c r="E42" s="4" t="str">
        <f>IF($D42=0, "-",B42/$D42)</f>
        <v>-</v>
      </c>
      <c r="F42" s="4" t="str">
        <f>IF($D42=0, "-",C42/$D42)</f>
        <v>-</v>
      </c>
      <c r="G42" s="26" t="str">
        <f t="shared" si="1"/>
        <v>-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>IF($D43=0, "-",B43/$D43)</f>
        <v>-</v>
      </c>
      <c r="F43" s="4" t="str">
        <f>IF($D43=0, "-",C43/$D43)</f>
        <v>-</v>
      </c>
      <c r="G43" s="26" t="str">
        <f t="shared" si="1"/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>IF($D44=0, "-",B44/$D44)</f>
        <v>-</v>
      </c>
      <c r="F44" s="4" t="str">
        <f>IF($D44=0, "-",C44/$D44)</f>
        <v>-</v>
      </c>
      <c r="G44" s="26" t="str">
        <f t="shared" si="1"/>
        <v>-</v>
      </c>
    </row>
    <row r="45" spans="1:7" x14ac:dyDescent="0.55000000000000004">
      <c r="A45" t="s">
        <v>43</v>
      </c>
      <c r="B45">
        <v>0</v>
      </c>
      <c r="C45">
        <v>0</v>
      </c>
      <c r="D45">
        <v>0</v>
      </c>
      <c r="E45" s="4" t="str">
        <f>IF($D45=0, "-",B45/$D45)</f>
        <v>-</v>
      </c>
      <c r="F45" s="4" t="str">
        <f>IF($D45=0, "-",C45/$D45)</f>
        <v>-</v>
      </c>
      <c r="G45" s="26" t="str">
        <f t="shared" si="1"/>
        <v>-</v>
      </c>
    </row>
    <row r="46" spans="1:7" x14ac:dyDescent="0.55000000000000004">
      <c r="A46" t="s">
        <v>44</v>
      </c>
      <c r="B46">
        <v>0</v>
      </c>
      <c r="C46">
        <v>0</v>
      </c>
      <c r="D46">
        <v>0</v>
      </c>
      <c r="E46" s="4" t="str">
        <f>IF($D46=0, "-",B46/$D46)</f>
        <v>-</v>
      </c>
      <c r="F46" s="4" t="str">
        <f>IF($D46=0, "-",C46/$D46)</f>
        <v>-</v>
      </c>
      <c r="G46" s="26" t="str">
        <f t="shared" si="1"/>
        <v>-</v>
      </c>
    </row>
    <row r="47" spans="1:7" x14ac:dyDescent="0.55000000000000004">
      <c r="A47" t="s">
        <v>45</v>
      </c>
      <c r="B47">
        <v>0</v>
      </c>
      <c r="C47">
        <v>0</v>
      </c>
      <c r="D47">
        <v>0</v>
      </c>
      <c r="E47" s="4" t="str">
        <f>IF($D47=0, "-",B47/$D47)</f>
        <v>-</v>
      </c>
      <c r="F47" s="4" t="str">
        <f>IF($D47=0, "-",C47/$D47)</f>
        <v>-</v>
      </c>
      <c r="G47" s="26" t="str">
        <f t="shared" si="1"/>
        <v>-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>IF($D48=0, "-",B48/$D48)</f>
        <v>-</v>
      </c>
      <c r="F48" s="4" t="str">
        <f>IF($D48=0, "-",C48/$D48)</f>
        <v>-</v>
      </c>
      <c r="G48" s="26" t="str">
        <f t="shared" si="1"/>
        <v>-</v>
      </c>
    </row>
    <row r="49" spans="1:7" x14ac:dyDescent="0.55000000000000004">
      <c r="A49" t="s">
        <v>47</v>
      </c>
      <c r="B49">
        <v>0</v>
      </c>
      <c r="C49">
        <v>0</v>
      </c>
      <c r="D49">
        <v>0</v>
      </c>
      <c r="E49" s="4" t="str">
        <f>IF($D49=0, "-",B49/$D49)</f>
        <v>-</v>
      </c>
      <c r="F49" s="4" t="str">
        <f>IF($D49=0, "-",C49/$D49)</f>
        <v>-</v>
      </c>
      <c r="G49" s="26" t="str">
        <f t="shared" si="1"/>
        <v>-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>IF($D50=0, "-",B50/$D50)</f>
        <v>-</v>
      </c>
      <c r="F50" s="4" t="str">
        <f>IF($D50=0, "-",C50/$D50)</f>
        <v>-</v>
      </c>
      <c r="G50" s="26" t="str">
        <f t="shared" si="1"/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>IF($D51=0, "-",B51/$D51)</f>
        <v>-</v>
      </c>
      <c r="F51" s="4" t="str">
        <f>IF($D51=0, "-",C51/$D51)</f>
        <v>-</v>
      </c>
      <c r="G51" s="26" t="str">
        <f t="shared" si="1"/>
        <v>-</v>
      </c>
    </row>
    <row r="52" spans="1:7" x14ac:dyDescent="0.55000000000000004">
      <c r="A52" t="s">
        <v>50</v>
      </c>
      <c r="B52">
        <v>0</v>
      </c>
      <c r="C52">
        <v>0</v>
      </c>
      <c r="D52">
        <v>0</v>
      </c>
      <c r="E52" s="4" t="str">
        <f>IF($D52=0, "-",B52/$D52)</f>
        <v>-</v>
      </c>
      <c r="F52" s="4" t="str">
        <f>IF($D52=0, "-",C52/$D52)</f>
        <v>-</v>
      </c>
      <c r="G52" s="26" t="str">
        <f t="shared" si="1"/>
        <v>-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>IF($D53=0, "-",B53/$D53)</f>
        <v>-</v>
      </c>
      <c r="F53" s="4" t="str">
        <f>IF($D53=0, "-",C53/$D53)</f>
        <v>-</v>
      </c>
      <c r="G53" s="26" t="str">
        <f t="shared" si="1"/>
        <v>-</v>
      </c>
    </row>
    <row r="54" spans="1:7" x14ac:dyDescent="0.55000000000000004">
      <c r="A54" t="s">
        <v>52</v>
      </c>
      <c r="B54">
        <v>0</v>
      </c>
      <c r="C54">
        <v>0</v>
      </c>
      <c r="D54">
        <v>0</v>
      </c>
      <c r="E54" s="4" t="str">
        <f>IF($D54=0, "-",B54/$D54)</f>
        <v>-</v>
      </c>
      <c r="F54" s="4" t="str">
        <f>IF($D54=0, "-",C54/$D54)</f>
        <v>-</v>
      </c>
      <c r="G54" s="26" t="str">
        <f t="shared" si="1"/>
        <v>-</v>
      </c>
    </row>
    <row r="55" spans="1:7" x14ac:dyDescent="0.55000000000000004">
      <c r="A55" t="s">
        <v>53</v>
      </c>
      <c r="B55">
        <v>0</v>
      </c>
      <c r="C55">
        <v>0</v>
      </c>
      <c r="D55">
        <v>0</v>
      </c>
      <c r="E55" s="4" t="str">
        <f>IF($D55=0, "-",B55/$D55)</f>
        <v>-</v>
      </c>
      <c r="F55" s="4" t="str">
        <f>IF($D55=0, "-",C55/$D55)</f>
        <v>-</v>
      </c>
      <c r="G55" s="26" t="str">
        <f t="shared" si="1"/>
        <v>-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>IF($D56=0, "-",B56/$D56)</f>
        <v>-</v>
      </c>
      <c r="F56" s="4" t="str">
        <f>IF($D56=0, "-",C56/$D56)</f>
        <v>-</v>
      </c>
      <c r="G56" s="26" t="str">
        <f>IF(E56="-", "-", E56+F56-13)</f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>IF($D57=0, "-",B57/$D57)</f>
        <v>-</v>
      </c>
      <c r="F57" s="4" t="str">
        <f>IF($D57=0, "-",C57/$D57)</f>
        <v>-</v>
      </c>
      <c r="G57" s="26" t="str">
        <f>IF(E57="-", "-", E57+F57-13)</f>
        <v>-</v>
      </c>
    </row>
    <row r="58" spans="1:7" x14ac:dyDescent="0.55000000000000004">
      <c r="A58" t="s">
        <v>138</v>
      </c>
      <c r="B58">
        <v>0</v>
      </c>
      <c r="C58">
        <v>0</v>
      </c>
      <c r="D58">
        <v>0</v>
      </c>
      <c r="E58" s="4" t="str">
        <f>IF($D58=0, "-",B58/$D58)</f>
        <v>-</v>
      </c>
      <c r="F58" s="4" t="str">
        <f>IF($D58=0, "-",C58/$D58)</f>
        <v>-</v>
      </c>
      <c r="G58" s="26" t="str">
        <f>IF(E58="-", "-", E58+F58-13)</f>
        <v>-</v>
      </c>
    </row>
    <row r="59" spans="1:7" x14ac:dyDescent="0.55000000000000004">
      <c r="A59" t="s">
        <v>139</v>
      </c>
      <c r="B59">
        <v>0</v>
      </c>
      <c r="C59">
        <v>0</v>
      </c>
      <c r="D59">
        <v>0</v>
      </c>
      <c r="E59" s="4" t="str">
        <f>IF($D59=0, "-",B59/$D59)</f>
        <v>-</v>
      </c>
      <c r="F59" s="4" t="str">
        <f>IF($D59=0, "-",C59/$D59)</f>
        <v>-</v>
      </c>
      <c r="G59" s="26" t="str">
        <f>IF(E59="-", "-", E59+F59-13)</f>
        <v>-</v>
      </c>
    </row>
    <row r="60" spans="1:7" x14ac:dyDescent="0.55000000000000004">
      <c r="A60" t="s">
        <v>140</v>
      </c>
      <c r="B60">
        <v>0</v>
      </c>
      <c r="C60">
        <v>0</v>
      </c>
      <c r="D60">
        <v>0</v>
      </c>
      <c r="E60" s="4" t="str">
        <f>IF($D60=0, "-",B60/$D60)</f>
        <v>-</v>
      </c>
      <c r="F60" s="4" t="str">
        <f>IF($D60=0, "-",C60/$D60)</f>
        <v>-</v>
      </c>
      <c r="G60" s="26" t="str">
        <f>IF(E60="-", "-", E60+F60-13)</f>
        <v>-</v>
      </c>
    </row>
    <row r="61" spans="1:7" x14ac:dyDescent="0.55000000000000004">
      <c r="A61" t="s">
        <v>141</v>
      </c>
      <c r="B61">
        <v>0</v>
      </c>
      <c r="C61">
        <v>0</v>
      </c>
      <c r="D61">
        <v>0</v>
      </c>
      <c r="E61" s="4" t="str">
        <f>IF($D61=0, "-",B61/$D61)</f>
        <v>-</v>
      </c>
      <c r="F61" s="4" t="str">
        <f>IF($D61=0, "-",C61/$D61)</f>
        <v>-</v>
      </c>
      <c r="G61" s="26" t="str">
        <f>IF(E61="-", "-", E61+F61-13)</f>
        <v>-</v>
      </c>
    </row>
    <row r="62" spans="1:7" x14ac:dyDescent="0.55000000000000004">
      <c r="A62" t="s">
        <v>142</v>
      </c>
      <c r="B62">
        <v>0</v>
      </c>
      <c r="C62">
        <v>0</v>
      </c>
      <c r="D62">
        <v>0</v>
      </c>
      <c r="E62" s="4" t="str">
        <f>IF($D62=0, "-",B62/$D62)</f>
        <v>-</v>
      </c>
      <c r="F62" s="4" t="str">
        <f>IF($D62=0, "-",C62/$D62)</f>
        <v>-</v>
      </c>
      <c r="G62" s="26" t="str">
        <f>IF(E62="-", "-", E62+F62-13)</f>
        <v>-</v>
      </c>
    </row>
    <row r="63" spans="1:7" x14ac:dyDescent="0.55000000000000004">
      <c r="A63" t="s">
        <v>143</v>
      </c>
      <c r="B63">
        <v>0</v>
      </c>
      <c r="C63">
        <v>0</v>
      </c>
      <c r="D63">
        <v>0</v>
      </c>
      <c r="E63" s="4" t="str">
        <f>IF($D63=0, "-",B63/$D63)</f>
        <v>-</v>
      </c>
      <c r="F63" s="4" t="str">
        <f>IF($D63=0, "-",C63/$D63)</f>
        <v>-</v>
      </c>
      <c r="G63" s="26" t="str">
        <f>IF(E63="-", "-", E63+F63-13)</f>
        <v>-</v>
      </c>
    </row>
    <row r="64" spans="1:7" x14ac:dyDescent="0.55000000000000004">
      <c r="A64" t="s">
        <v>144</v>
      </c>
      <c r="B64">
        <v>0</v>
      </c>
      <c r="C64">
        <v>0</v>
      </c>
      <c r="D64">
        <v>0</v>
      </c>
      <c r="E64" s="4" t="str">
        <f>IF($D64=0, "-",B64/$D64)</f>
        <v>-</v>
      </c>
      <c r="F64" s="4" t="str">
        <f>IF($D64=0, "-",C64/$D64)</f>
        <v>-</v>
      </c>
      <c r="G64" s="26" t="str">
        <f>IF(E64="-", "-", E64+F64-13)</f>
        <v>-</v>
      </c>
    </row>
    <row r="65" spans="1:7" x14ac:dyDescent="0.55000000000000004">
      <c r="A65" t="s">
        <v>145</v>
      </c>
      <c r="B65">
        <v>0</v>
      </c>
      <c r="C65">
        <v>0</v>
      </c>
      <c r="D65">
        <v>0</v>
      </c>
      <c r="E65" s="4" t="str">
        <f>IF($D65=0, "-",B65/$D65)</f>
        <v>-</v>
      </c>
      <c r="F65" s="4" t="str">
        <f>IF($D65=0, "-",C65/$D65)</f>
        <v>-</v>
      </c>
      <c r="G65" s="26" t="str">
        <f>IF(E65="-", "-", E65+F65-13)</f>
        <v>-</v>
      </c>
    </row>
  </sheetData>
  <sortState xmlns:xlrd2="http://schemas.microsoft.com/office/spreadsheetml/2017/richdata2" ref="A2:F67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topLeftCell="A10" workbookViewId="0"/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x14ac:dyDescent="0.55000000000000004">
      <c r="A1" t="s">
        <v>113</v>
      </c>
      <c r="B1" t="s">
        <v>114</v>
      </c>
      <c r="C1">
        <v>1</v>
      </c>
      <c r="D1">
        <v>15</v>
      </c>
    </row>
    <row r="2" spans="1:4" x14ac:dyDescent="0.55000000000000004">
      <c r="A2" t="s">
        <v>0</v>
      </c>
      <c r="B2" t="s">
        <v>56</v>
      </c>
      <c r="C2">
        <v>2</v>
      </c>
      <c r="D2">
        <v>12</v>
      </c>
    </row>
    <row r="3" spans="1:4" x14ac:dyDescent="0.55000000000000004">
      <c r="A3" t="s">
        <v>1</v>
      </c>
      <c r="B3" t="s">
        <v>57</v>
      </c>
      <c r="C3">
        <v>3</v>
      </c>
      <c r="D3">
        <v>10</v>
      </c>
    </row>
    <row r="4" spans="1:4" x14ac:dyDescent="0.55000000000000004">
      <c r="A4" t="s">
        <v>2</v>
      </c>
      <c r="B4" t="s">
        <v>58</v>
      </c>
      <c r="C4">
        <v>4</v>
      </c>
      <c r="D4">
        <v>9</v>
      </c>
    </row>
    <row r="5" spans="1:4" x14ac:dyDescent="0.55000000000000004">
      <c r="A5" t="s">
        <v>3</v>
      </c>
      <c r="B5" t="s">
        <v>59</v>
      </c>
      <c r="C5">
        <v>5</v>
      </c>
      <c r="D5">
        <v>8</v>
      </c>
    </row>
    <row r="6" spans="1:4" x14ac:dyDescent="0.55000000000000004">
      <c r="A6" t="s">
        <v>4</v>
      </c>
      <c r="B6" t="s">
        <v>60</v>
      </c>
      <c r="C6">
        <v>6</v>
      </c>
      <c r="D6">
        <v>7</v>
      </c>
    </row>
    <row r="7" spans="1:4" x14ac:dyDescent="0.55000000000000004">
      <c r="A7" t="s">
        <v>5</v>
      </c>
      <c r="B7" t="s">
        <v>61</v>
      </c>
      <c r="C7">
        <v>7</v>
      </c>
      <c r="D7">
        <v>6</v>
      </c>
    </row>
    <row r="8" spans="1:4" x14ac:dyDescent="0.55000000000000004">
      <c r="A8" t="s">
        <v>6</v>
      </c>
      <c r="B8" t="s">
        <v>62</v>
      </c>
      <c r="C8">
        <v>8</v>
      </c>
      <c r="D8">
        <v>5</v>
      </c>
    </row>
    <row r="9" spans="1:4" x14ac:dyDescent="0.55000000000000004">
      <c r="A9" t="s">
        <v>7</v>
      </c>
      <c r="B9" t="s">
        <v>63</v>
      </c>
      <c r="C9">
        <v>9</v>
      </c>
      <c r="D9">
        <v>4</v>
      </c>
    </row>
    <row r="10" spans="1:4" x14ac:dyDescent="0.55000000000000004">
      <c r="A10" t="s">
        <v>8</v>
      </c>
      <c r="B10" t="s">
        <v>64</v>
      </c>
      <c r="C10">
        <v>10</v>
      </c>
      <c r="D10">
        <v>3</v>
      </c>
    </row>
    <row r="11" spans="1:4" x14ac:dyDescent="0.55000000000000004">
      <c r="A11" t="s">
        <v>9</v>
      </c>
      <c r="B11" t="s">
        <v>65</v>
      </c>
      <c r="C11">
        <v>11</v>
      </c>
      <c r="D11">
        <v>2</v>
      </c>
    </row>
    <row r="12" spans="1:4" x14ac:dyDescent="0.55000000000000004">
      <c r="A12" t="s">
        <v>10</v>
      </c>
      <c r="B12" t="s">
        <v>66</v>
      </c>
      <c r="C12">
        <v>12</v>
      </c>
      <c r="D12">
        <v>1</v>
      </c>
    </row>
    <row r="13" spans="1:4" x14ac:dyDescent="0.55000000000000004">
      <c r="A13" t="s">
        <v>11</v>
      </c>
      <c r="B13" t="s">
        <v>67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ny2AQ6T/1xtII1GeXxwVSzg6BStAr6L21Ww/+OUlpmnRxZOqK22D0vM6bSuQAIz9aXFz4PHd7KkZ3/ePp/6yNg==" saltValue="T/Ov6IllwZtErxdVVEeRWA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2022-09-11T11:05:05Z</dcterms:modified>
</cp:coreProperties>
</file>