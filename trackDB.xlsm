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40448BE0-8686-47BC-BF7C-57E07439243F}" xr6:coauthVersionLast="47" xr6:coauthVersionMax="47" xr10:uidLastSave="{00000000-0000-0000-0000-000000000000}"/>
  <bookViews>
    <workbookView xWindow="-110" yWindow="-110" windowWidth="22780" windowHeight="14660" activeTab="2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Data!$A$1:$F$70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5" i="2"/>
  <c r="G59" i="2"/>
  <c r="G27" i="2"/>
  <c r="G50" i="2"/>
  <c r="G28" i="2"/>
  <c r="G18" i="2"/>
  <c r="G10" i="2"/>
  <c r="G47" i="2"/>
  <c r="G39" i="2"/>
  <c r="G33" i="2"/>
  <c r="G5" i="2"/>
  <c r="G43" i="2"/>
  <c r="G22" i="2"/>
  <c r="G51" i="2"/>
  <c r="G64" i="2"/>
  <c r="G26" i="2"/>
  <c r="G63" i="2"/>
  <c r="G42" i="2"/>
  <c r="G9" i="2"/>
  <c r="G38" i="2"/>
  <c r="G49" i="2"/>
  <c r="G31" i="2"/>
  <c r="G20" i="2"/>
  <c r="G29" i="2"/>
  <c r="G62" i="2"/>
  <c r="G17" i="2"/>
  <c r="G57" i="2"/>
  <c r="G34" i="2"/>
  <c r="G41" i="2"/>
  <c r="G11" i="2"/>
  <c r="G23" i="2"/>
  <c r="G24" i="2"/>
  <c r="G36" i="2"/>
  <c r="G30" i="2"/>
  <c r="G25" i="2"/>
  <c r="G8" i="2"/>
  <c r="G19" i="2"/>
  <c r="G46" i="2"/>
  <c r="G4" i="2"/>
  <c r="G7" i="2"/>
  <c r="G6" i="2"/>
  <c r="G44" i="2"/>
  <c r="G54" i="2"/>
  <c r="G53" i="2"/>
  <c r="G2" i="2"/>
  <c r="G3" i="2"/>
  <c r="G16" i="2"/>
  <c r="G37" i="2"/>
  <c r="G15" i="2"/>
  <c r="G65" i="2"/>
  <c r="G45" i="2"/>
  <c r="G56" i="2"/>
  <c r="G21" i="2"/>
  <c r="G14" i="2"/>
  <c r="G58" i="2"/>
  <c r="G52" i="2"/>
  <c r="G40" i="2"/>
  <c r="G61" i="2"/>
  <c r="G48" i="2"/>
  <c r="G12" i="2"/>
  <c r="G55" i="2"/>
  <c r="G13" i="2"/>
  <c r="G32" i="2"/>
  <c r="G60" i="2"/>
</calcChain>
</file>

<file path=xl/sharedStrings.xml><?xml version="1.0" encoding="utf-8"?>
<sst xmlns="http://schemas.openxmlformats.org/spreadsheetml/2006/main" count="351" uniqueCount="203">
  <si>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</si>
  <si>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</si>
  <si>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</si>
  <si>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</si>
  <si>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</si>
  <si>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</si>
  <si>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</si>
  <si>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</si>
  <si>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</si>
  <si>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</si>
  <si>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</si>
  <si>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</si>
  <si>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</si>
  <si>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</si>
  <si>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</si>
  <si>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</si>
  <si>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</si>
  <si>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</si>
  <si>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</si>
  <si>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</si>
  <si>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</si>
  <si>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</si>
  <si>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</si>
  <si>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</si>
  <si>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</si>
  <si>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</si>
  <si>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</si>
  <si>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</si>
  <si>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</si>
  <si>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</si>
  <si>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</si>
  <si>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</si>
  <si>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</si>
  <si>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</si>
  <si>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</si>
  <si>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</si>
  <si>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</si>
  <si>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</si>
  <si>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</si>
  <si>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</si>
  <si>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</si>
  <si>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</si>
  <si>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</si>
  <si>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</si>
  <si>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</si>
  <si>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</si>
  <si>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</si>
  <si>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</si>
  <si>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</si>
  <si>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</si>
  <si>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</si>
  <si>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</si>
  <si>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</si>
  <si>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</si>
  <si>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</si>
  <si>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</si>
  <si>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</si>
  <si>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</si>
  <si>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</si>
  <si>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</si>
  <si>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</si>
  <si>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</si>
  <si>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</si>
  <si>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</si>
  <si>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</si>
  <si>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</si>
  <si>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</si>
  <si>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</si>
  <si>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</si>
  <si>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</si>
  <si>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</si>
  <si>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</si>
  <si>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</si>
  <si>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</si>
  <si>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</si>
  <si>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</si>
  <si>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</si>
  <si>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</si>
  <si>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</si>
  <si>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</si>
  <si>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</si>
  <si>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</si>
  <si>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</si>
  <si>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</si>
  <si>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</si>
  <si>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</si>
  <si>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</si>
  <si>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</si>
  <si>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</si>
  <si>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</si>
  <si>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</si>
  <si>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</si>
  <si>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</si>
  <si>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</si>
  <si>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</si>
  <si>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</si>
  <si>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</si>
  <si>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</si>
  <si>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</si>
  <si>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</si>
  <si>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</si>
  <si>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</si>
  <si>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</si>
  <si>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</si>
  <si>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</si>
  <si>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</si>
  <si>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</si>
  <si>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</si>
  <si>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</si>
  <si>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</si>
  <si>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</si>
  <si>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</si>
  <si>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</si>
  <si>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</si>
  <si>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</si>
  <si>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</si>
  <si>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</si>
  <si>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</si>
  <si>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</si>
  <si>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</si>
  <si>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</si>
  <si>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</si>
  <si>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</si>
  <si>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</si>
  <si>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</si>
  <si>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</si>
  <si>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</si>
  <si>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</si>
  <si>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</si>
  <si>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</si>
  <si>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</si>
  <si>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</si>
  <si>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</si>
  <si>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</si>
  <si>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</si>
  <si>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</si>
  <si>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</si>
  <si>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</si>
  <si>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</si>
  <si>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</si>
  <si>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</si>
  <si>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</si>
  <si>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</si>
  <si>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</si>
  <si>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</si>
  <si>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</si>
  <si>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</si>
  <si>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</si>
  <si>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</si>
  <si>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</si>
  <si>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</si>
  <si>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</si>
  <si>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</si>
  <si>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</si>
  <si>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</si>
  <si>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</si>
  <si>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</si>
  <si>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</si>
  <si>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</si>
  <si>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</si>
  <si>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</si>
  <si>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</si>
  <si>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</si>
  <si>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</si>
  <si>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</si>
  <si>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</si>
  <si>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マリオカートスタジアム</t>
  </si>
  <si>
    <t>ウォーターパーク</t>
  </si>
  <si>
    <t>スイーツキャニオン</t>
  </si>
  <si>
    <t>ドッスンいせき</t>
  </si>
  <si>
    <t>キノピオハーバー</t>
  </si>
  <si>
    <t>ヘイホーこうざん</t>
  </si>
  <si>
    <t>ドルフィンみさき</t>
  </si>
  <si>
    <t>ホネホネさばく</t>
  </si>
  <si>
    <t>クッパキャッスル</t>
  </si>
  <si>
    <t>レインボーロード</t>
  </si>
  <si>
    <t>モーモーカントリー</t>
  </si>
  <si>
    <t>GBAマリオサーキット</t>
  </si>
  <si>
    <t>プクプクビーチ</t>
  </si>
  <si>
    <t>キノピオハイウェイ</t>
  </si>
  <si>
    <t>ドーナツへいや3</t>
  </si>
  <si>
    <t>DKジャングル</t>
  </si>
  <si>
    <t>ワリオスタジアム</t>
  </si>
  <si>
    <t>ミュージックパーク</t>
  </si>
  <si>
    <t>パックンスライダー</t>
  </si>
  <si>
    <t>64レインボーロード</t>
  </si>
  <si>
    <t>ヨッシーサーキット</t>
  </si>
  <si>
    <t>エキサイトバイク</t>
  </si>
  <si>
    <t>ベビィパーク</t>
  </si>
  <si>
    <t>チーズランド</t>
  </si>
  <si>
    <t>ネイチャーロード</t>
  </si>
  <si>
    <t>ワリオこうざん</t>
  </si>
  <si>
    <t>ツルツルツイスター</t>
  </si>
  <si>
    <t>リボンロード</t>
  </si>
  <si>
    <t>リンリンメトロ</t>
  </si>
  <si>
    <t>パリプロムナード</t>
  </si>
  <si>
    <t>キノピオサーキット</t>
  </si>
  <si>
    <t>トーキョースクランブル</t>
  </si>
  <si>
    <t>ニューヨークドリーム</t>
  </si>
  <si>
    <t>64カラカラさばく</t>
  </si>
  <si>
    <t>ワルイージピンボール</t>
  </si>
  <si>
    <t>スノーランド</t>
  </si>
  <si>
    <t>キノコキャニオン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</si>
</sst>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79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114300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114300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zoomScaleNormal="100" workbookViewId="0"/>
  </sheetViews>
  <sheetFormatPr defaultColWidth="0" defaultRowHeight="18" zeroHeight="1" x14ac:dyDescent="0.55000000000000004"/>
  <cols>
    <col min="1" max="1" width="8.33203125" style="60" customWidth="1"/>
    <col min="2" max="2" width="29.6640625" style="56" customWidth="1"/>
    <col min="3" max="3" width="10" style="56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9"/>
      <c r="B1" s="40"/>
      <c r="C1" s="40"/>
      <c r="D1" s="7"/>
      <c r="E1" s="7"/>
    </row>
    <row r="2" spans="1:8" ht="20" x14ac:dyDescent="0.55000000000000004">
      <c r="A2" s="41"/>
      <c r="B2" s="42" t="s">
        <v>112</v>
      </c>
      <c r="C2" s="43" t="s">
        <v>120</v>
      </c>
    </row>
    <row r="3" spans="1:8" s="3" customFormat="1" ht="20" x14ac:dyDescent="0.55000000000000004">
      <c r="A3" s="44">
        <v>1</v>
      </c>
      <c r="B3" s="45" t="s">
        <v>112</v>
      </c>
      <c r="C3" s="46"/>
      <c r="E3" s="14" t="s">
        <v>159</v>
      </c>
      <c r="H3" s="3">
        <f>IF(C3="", 0,IF(C3=1,15,IF(C3=2,12,13-C3)))</f>
        <v>0</v>
      </c>
    </row>
    <row r="4" spans="1:8" s="3" customFormat="1" ht="20" x14ac:dyDescent="0.55000000000000004">
      <c r="A4" s="47">
        <v>2</v>
      </c>
      <c r="B4" s="48" t="s">
        <v>112</v>
      </c>
      <c r="C4" s="49"/>
      <c r="E4" s="14"/>
      <c r="H4" s="3">
        <f t="shared" ref="H4:H12" si="0">IF(C4="", 0,IF(C4=1,15,IF(C4=2,12,13-C4)))</f>
        <v>0</v>
      </c>
    </row>
    <row r="5" spans="1:8" s="3" customFormat="1" ht="20" x14ac:dyDescent="0.55000000000000004">
      <c r="A5" s="47">
        <v>3</v>
      </c>
      <c r="B5" s="48" t="s">
        <v>112</v>
      </c>
      <c r="C5" s="50"/>
      <c r="E5" s="14"/>
      <c r="H5" s="3">
        <f t="shared" si="0"/>
        <v>0</v>
      </c>
    </row>
    <row r="6" spans="1:8" s="3" customFormat="1" ht="20" x14ac:dyDescent="0.55000000000000004">
      <c r="A6" s="47">
        <v>4</v>
      </c>
      <c r="B6" s="48" t="s">
        <v>112</v>
      </c>
      <c r="C6" s="51"/>
      <c r="E6" s="14"/>
      <c r="H6" s="3">
        <f t="shared" si="0"/>
        <v>0</v>
      </c>
    </row>
    <row r="7" spans="1:8" s="3" customFormat="1" ht="20" x14ac:dyDescent="0.55000000000000004">
      <c r="A7" s="47">
        <v>5</v>
      </c>
      <c r="B7" s="48" t="s">
        <v>112</v>
      </c>
      <c r="C7" s="51"/>
      <c r="E7" s="14"/>
      <c r="H7" s="3">
        <f t="shared" si="0"/>
        <v>0</v>
      </c>
    </row>
    <row r="8" spans="1:8" s="3" customFormat="1" ht="20" x14ac:dyDescent="0.55000000000000004">
      <c r="A8" s="47">
        <v>6</v>
      </c>
      <c r="B8" s="48" t="s">
        <v>112</v>
      </c>
      <c r="C8" s="51"/>
      <c r="E8" s="14"/>
      <c r="H8" s="3">
        <f t="shared" si="0"/>
        <v>0</v>
      </c>
    </row>
    <row r="9" spans="1:8" s="3" customFormat="1" ht="20" x14ac:dyDescent="0.55000000000000004">
      <c r="A9" s="47">
        <v>7</v>
      </c>
      <c r="B9" s="48" t="s">
        <v>112</v>
      </c>
      <c r="C9" s="49"/>
      <c r="E9" s="14"/>
      <c r="H9" s="3">
        <f>IF(C9="", 0,IF(C9=1,15,IF(C9=2,12,13-C9)))</f>
        <v>0</v>
      </c>
    </row>
    <row r="10" spans="1:8" s="3" customFormat="1" ht="20" x14ac:dyDescent="0.55000000000000004">
      <c r="A10" s="47">
        <v>8</v>
      </c>
      <c r="B10" s="48" t="s">
        <v>112</v>
      </c>
      <c r="C10" s="50"/>
      <c r="E10" s="14"/>
      <c r="H10" s="3">
        <f>IF(C10="", 0,IF(C10=1,15,IF(C10=2,12,13-C10)))</f>
        <v>0</v>
      </c>
    </row>
    <row r="11" spans="1:8" s="3" customFormat="1" ht="20" x14ac:dyDescent="0.55000000000000004">
      <c r="A11" s="47">
        <v>9</v>
      </c>
      <c r="B11" s="48" t="s">
        <v>112</v>
      </c>
      <c r="C11" s="50"/>
      <c r="E11" s="14"/>
      <c r="H11" s="3">
        <f t="shared" si="0"/>
        <v>0</v>
      </c>
    </row>
    <row r="12" spans="1:8" s="3" customFormat="1" ht="20" x14ac:dyDescent="0.55000000000000004">
      <c r="A12" s="47">
        <v>10</v>
      </c>
      <c r="B12" s="48" t="s">
        <v>112</v>
      </c>
      <c r="C12" s="50"/>
      <c r="H12" s="3">
        <f t="shared" si="0"/>
        <v>0</v>
      </c>
    </row>
    <row r="13" spans="1:8" s="3" customFormat="1" ht="20" x14ac:dyDescent="0.55000000000000004">
      <c r="A13" s="47">
        <v>11</v>
      </c>
      <c r="B13" s="48" t="s">
        <v>112</v>
      </c>
      <c r="C13" s="50"/>
      <c r="H13" s="3">
        <f>IF(C13="", 0,IF(C13=1,15,IF(C13=2,12,13-C13)))</f>
        <v>0</v>
      </c>
    </row>
    <row r="14" spans="1:8" s="3" customFormat="1" ht="20" x14ac:dyDescent="0.55000000000000004">
      <c r="A14" s="52">
        <v>12</v>
      </c>
      <c r="B14" s="53" t="s">
        <v>112</v>
      </c>
      <c r="C14" s="54"/>
      <c r="H14" s="3">
        <f>IF(C14="", 0,IF(C14=1,15,IF(C14=2,12,13-C14)))</f>
        <v>0</v>
      </c>
    </row>
    <row r="15" spans="1:8" x14ac:dyDescent="0.55000000000000004">
      <c r="A15" s="55" t="s">
        <v>155</v>
      </c>
      <c r="B15" s="56" t="s">
        <v>146</v>
      </c>
      <c r="C15" s="57">
        <f>SUM(H3:H14)</f>
        <v>0</v>
      </c>
    </row>
    <row r="16" spans="1:8" ht="9" customHeight="1" thickBot="1" x14ac:dyDescent="0.6">
      <c r="A16" s="58"/>
      <c r="B16" s="59"/>
      <c r="C16" s="59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0" t="s">
        <v>160</v>
      </c>
      <c r="B18" s="70"/>
      <c r="C18" s="70"/>
    </row>
    <row r="19" spans="1:3" x14ac:dyDescent="0.55000000000000004">
      <c r="A19" s="61" t="s">
        <v>157</v>
      </c>
      <c r="B19" s="62"/>
      <c r="C19" s="63"/>
    </row>
    <row r="20" spans="1:3" x14ac:dyDescent="0.55000000000000004">
      <c r="A20" s="64"/>
      <c r="B20" s="65"/>
      <c r="C20" s="63"/>
    </row>
    <row r="21" spans="1:3" x14ac:dyDescent="0.55000000000000004">
      <c r="A21" s="64"/>
      <c r="B21" s="65"/>
      <c r="C21" s="63"/>
    </row>
    <row r="22" spans="1:3" x14ac:dyDescent="0.55000000000000004">
      <c r="A22" s="64"/>
      <c r="B22" s="65"/>
      <c r="C22" s="63"/>
    </row>
    <row r="23" spans="1:3" x14ac:dyDescent="0.55000000000000004">
      <c r="A23" s="64"/>
      <c r="B23" s="65"/>
      <c r="C23" s="63"/>
    </row>
    <row r="24" spans="1:3" x14ac:dyDescent="0.55000000000000004">
      <c r="A24" s="64"/>
      <c r="B24" s="65"/>
      <c r="C24" s="63"/>
    </row>
    <row r="25" spans="1:3" x14ac:dyDescent="0.55000000000000004">
      <c r="A25" s="64"/>
      <c r="B25" s="65"/>
      <c r="C25" s="63"/>
    </row>
    <row r="26" spans="1:3" x14ac:dyDescent="0.55000000000000004">
      <c r="A26" s="64"/>
      <c r="B26" s="65"/>
      <c r="C26" s="63"/>
    </row>
    <row r="27" spans="1:3" x14ac:dyDescent="0.55000000000000004">
      <c r="A27" s="66" t="s">
        <v>158</v>
      </c>
      <c r="B27" s="67"/>
      <c r="C27" s="68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1" t="s">
        <v>132</v>
      </c>
      <c r="C2" s="71"/>
      <c r="D2" s="72"/>
      <c r="F2" s="79" t="s">
        <v>134</v>
      </c>
      <c r="G2" s="79"/>
      <c r="H2" s="79"/>
      <c r="I2" s="17"/>
      <c r="J2" s="77" t="s">
        <v>156</v>
      </c>
      <c r="K2" s="77"/>
      <c r="L2" s="78"/>
      <c r="N2" s="22" t="s">
        <v>163</v>
      </c>
      <c r="O2" s="21"/>
    </row>
    <row r="3" spans="2:15" s="16" customFormat="1" ht="20" x14ac:dyDescent="0.55000000000000004">
      <c r="B3" s="12" t="s">
        <v>122</v>
      </c>
      <c r="C3" s="23" t="s">
        <v>187</v>
      </c>
      <c r="D3" s="24">
        <v>102</v>
      </c>
      <c r="F3" s="13" t="s">
        <v>122</v>
      </c>
      <c r="G3" s="23" t="s">
        <v>195</v>
      </c>
      <c r="H3" s="31">
        <v>4.5416666699999997</v>
      </c>
      <c r="I3" s="18"/>
      <c r="J3" s="13" t="s">
        <v>122</v>
      </c>
      <c r="K3" s="23" t="s">
        <v>167</v>
      </c>
      <c r="L3" s="35">
        <v>10.36</v>
      </c>
      <c r="N3" s="69">
        <v>15</v>
      </c>
      <c r="O3" s="20"/>
    </row>
    <row r="4" spans="2:15" s="16" customFormat="1" ht="20" x14ac:dyDescent="0.55000000000000004">
      <c r="B4" s="9" t="s">
        <v>123</v>
      </c>
      <c r="C4" s="25" t="s">
        <v>182</v>
      </c>
      <c r="D4" s="26">
        <v>84</v>
      </c>
      <c r="F4" s="9" t="s">
        <v>123</v>
      </c>
      <c r="G4" s="25" t="s">
        <v>198</v>
      </c>
      <c r="H4" s="32">
        <v>5.26</v>
      </c>
      <c r="I4" s="19"/>
      <c r="J4" s="9" t="s">
        <v>123</v>
      </c>
      <c r="K4" s="25" t="s">
        <v>195</v>
      </c>
      <c r="L4" s="36">
        <v>9.4861111099999995</v>
      </c>
      <c r="M4" s="20"/>
      <c r="N4" s="20"/>
      <c r="O4" s="20"/>
    </row>
    <row r="5" spans="2:15" s="16" customFormat="1" ht="20" x14ac:dyDescent="0.55000000000000004">
      <c r="B5" s="8" t="s">
        <v>124</v>
      </c>
      <c r="C5" s="27" t="s">
        <v>166</v>
      </c>
      <c r="D5" s="28">
        <v>83</v>
      </c>
      <c r="F5" s="8" t="s">
        <v>124</v>
      </c>
      <c r="G5" s="27" t="s">
        <v>194</v>
      </c>
      <c r="H5" s="33">
        <v>5.3333333300000003</v>
      </c>
      <c r="I5" s="19"/>
      <c r="J5" s="8" t="s">
        <v>124</v>
      </c>
      <c r="K5" s="27" t="s">
        <v>198</v>
      </c>
      <c r="L5" s="37">
        <v>8.5399999999999991</v>
      </c>
    </row>
    <row r="6" spans="2:15" s="16" customFormat="1" ht="20" x14ac:dyDescent="0.55000000000000004">
      <c r="B6" s="9" t="s">
        <v>125</v>
      </c>
      <c r="C6" s="25" t="s">
        <v>172</v>
      </c>
      <c r="D6" s="26">
        <v>73</v>
      </c>
      <c r="F6" s="9" t="s">
        <v>125</v>
      </c>
      <c r="G6" s="25" t="s">
        <v>174</v>
      </c>
      <c r="H6" s="32">
        <v>5.3333333300000003</v>
      </c>
      <c r="I6" s="19"/>
      <c r="J6" s="9" t="s">
        <v>125</v>
      </c>
      <c r="K6" s="25" t="s">
        <v>184</v>
      </c>
      <c r="L6" s="36">
        <v>8.2631578900000004</v>
      </c>
    </row>
    <row r="7" spans="2:15" s="16" customFormat="1" ht="20" x14ac:dyDescent="0.55000000000000004">
      <c r="B7" s="8" t="s">
        <v>126</v>
      </c>
      <c r="C7" s="27" t="s">
        <v>195</v>
      </c>
      <c r="D7" s="28">
        <v>72</v>
      </c>
      <c r="F7" s="8" t="s">
        <v>126</v>
      </c>
      <c r="G7" s="27" t="s">
        <v>197</v>
      </c>
      <c r="H7" s="33">
        <v>5.4</v>
      </c>
      <c r="I7" s="19"/>
      <c r="J7" s="8" t="s">
        <v>126</v>
      </c>
      <c r="K7" s="27" t="s">
        <v>174</v>
      </c>
      <c r="L7" s="37">
        <v>8.2222222200000008</v>
      </c>
    </row>
    <row r="8" spans="2:15" s="16" customFormat="1" ht="20" x14ac:dyDescent="0.55000000000000004">
      <c r="B8" s="9" t="s">
        <v>127</v>
      </c>
      <c r="C8" s="25" t="s">
        <v>177</v>
      </c>
      <c r="D8" s="26">
        <v>62</v>
      </c>
      <c r="F8" s="9" t="s">
        <v>127</v>
      </c>
      <c r="G8" s="25" t="s">
        <v>184</v>
      </c>
      <c r="H8" s="32">
        <v>5.4210526300000001</v>
      </c>
      <c r="I8" s="19"/>
      <c r="J8" s="9" t="s">
        <v>127</v>
      </c>
      <c r="K8" s="25" t="s">
        <v>194</v>
      </c>
      <c r="L8" s="36">
        <v>8.1999999999999993</v>
      </c>
    </row>
    <row r="9" spans="2:15" s="16" customFormat="1" ht="20" x14ac:dyDescent="0.55000000000000004">
      <c r="B9" s="8" t="s">
        <v>128</v>
      </c>
      <c r="C9" s="27" t="s">
        <v>192</v>
      </c>
      <c r="D9" s="28">
        <v>61</v>
      </c>
      <c r="F9" s="8" t="s">
        <v>128</v>
      </c>
      <c r="G9" s="27" t="s">
        <v>189</v>
      </c>
      <c r="H9" s="33">
        <v>5.5357142899999996</v>
      </c>
      <c r="I9" s="19"/>
      <c r="J9" s="8" t="s">
        <v>128</v>
      </c>
      <c r="K9" s="27" t="s">
        <v>189</v>
      </c>
      <c r="L9" s="37">
        <v>8.1785714299999999</v>
      </c>
    </row>
    <row r="10" spans="2:15" s="16" customFormat="1" ht="20" x14ac:dyDescent="0.55000000000000004">
      <c r="B10" s="9" t="s">
        <v>129</v>
      </c>
      <c r="C10" s="25" t="s">
        <v>202</v>
      </c>
      <c r="D10" s="26">
        <v>61</v>
      </c>
      <c r="F10" s="9" t="s">
        <v>129</v>
      </c>
      <c r="G10" s="25" t="s">
        <v>199</v>
      </c>
      <c r="H10" s="32">
        <v>5.6111111100000004</v>
      </c>
      <c r="I10" s="19"/>
      <c r="J10" s="9" t="s">
        <v>129</v>
      </c>
      <c r="K10" s="25" t="s">
        <v>197</v>
      </c>
      <c r="L10" s="36">
        <v>8</v>
      </c>
    </row>
    <row r="11" spans="2:15" s="16" customFormat="1" ht="20" x14ac:dyDescent="0.55000000000000004">
      <c r="B11" s="8" t="s">
        <v>130</v>
      </c>
      <c r="C11" s="27" t="s">
        <v>181</v>
      </c>
      <c r="D11" s="28">
        <v>50</v>
      </c>
      <c r="F11" s="8" t="s">
        <v>130</v>
      </c>
      <c r="G11" s="27" t="s">
        <v>200</v>
      </c>
      <c r="H11" s="33">
        <v>5.6666666699999997</v>
      </c>
      <c r="I11" s="19"/>
      <c r="J11" s="8" t="s">
        <v>130</v>
      </c>
      <c r="K11" s="27" t="s">
        <v>200</v>
      </c>
      <c r="L11" s="37">
        <v>7.9523809500000002</v>
      </c>
    </row>
    <row r="12" spans="2:15" s="16" customFormat="1" ht="20" x14ac:dyDescent="0.55000000000000004">
      <c r="B12" s="10" t="s">
        <v>131</v>
      </c>
      <c r="C12" s="29" t="s">
        <v>198</v>
      </c>
      <c r="D12" s="30">
        <v>50</v>
      </c>
      <c r="F12" s="10" t="s">
        <v>131</v>
      </c>
      <c r="G12" s="29" t="s">
        <v>182</v>
      </c>
      <c r="H12" s="34">
        <v>5.7738095200000004</v>
      </c>
      <c r="I12" s="19"/>
      <c r="J12" s="10" t="s">
        <v>131</v>
      </c>
      <c r="K12" s="29" t="s">
        <v>199</v>
      </c>
      <c r="L12" s="38">
        <v>7.8333333300000003</v>
      </c>
    </row>
    <row r="13" spans="2:15" x14ac:dyDescent="0.55000000000000004"/>
    <row r="14" spans="2:15" ht="20" x14ac:dyDescent="0.55000000000000004">
      <c r="B14" s="73" t="s">
        <v>133</v>
      </c>
      <c r="C14" s="73"/>
      <c r="D14" s="74"/>
      <c r="F14" s="75" t="s">
        <v>135</v>
      </c>
      <c r="G14" s="75"/>
      <c r="H14" s="76"/>
      <c r="I14" s="17"/>
      <c r="J14" s="80" t="s">
        <v>137</v>
      </c>
      <c r="K14" s="80"/>
      <c r="L14" s="81"/>
    </row>
    <row r="15" spans="2:15" ht="20" x14ac:dyDescent="0.55000000000000004">
      <c r="B15" s="12" t="s">
        <v>122</v>
      </c>
      <c r="C15" s="23" t="s">
        <v>169</v>
      </c>
      <c r="D15" s="24">
        <v>1</v>
      </c>
      <c r="F15" s="12" t="s">
        <v>122</v>
      </c>
      <c r="G15" s="23" t="s">
        <v>167</v>
      </c>
      <c r="H15" s="31">
        <v>0</v>
      </c>
      <c r="I15" s="18"/>
      <c r="J15" s="13" t="s">
        <v>122</v>
      </c>
      <c r="K15" s="23" t="s">
        <v>167</v>
      </c>
      <c r="L15" s="35">
        <v>0</v>
      </c>
    </row>
    <row r="16" spans="2:15" ht="20" x14ac:dyDescent="0.55000000000000004">
      <c r="B16" s="9" t="s">
        <v>123</v>
      </c>
      <c r="C16" s="25" t="s">
        <v>171</v>
      </c>
      <c r="D16" s="26">
        <v>1</v>
      </c>
      <c r="F16" s="9" t="s">
        <v>123</v>
      </c>
      <c r="G16" s="25" t="s">
        <v>196</v>
      </c>
      <c r="H16" s="32">
        <v>8.8823529400000005</v>
      </c>
      <c r="I16" s="19"/>
      <c r="J16" s="9" t="s">
        <v>123</v>
      </c>
      <c r="K16" s="25" t="s">
        <v>195</v>
      </c>
      <c r="L16" s="36">
        <v>1.03</v>
      </c>
    </row>
    <row r="17" spans="2:12" ht="20" x14ac:dyDescent="0.55000000000000004">
      <c r="B17" s="8" t="s">
        <v>124</v>
      </c>
      <c r="C17" s="27" t="s">
        <v>175</v>
      </c>
      <c r="D17" s="28">
        <v>2</v>
      </c>
      <c r="F17" s="8" t="s">
        <v>124</v>
      </c>
      <c r="G17" s="27" t="s">
        <v>183</v>
      </c>
      <c r="H17" s="33">
        <v>8.1851851900000003</v>
      </c>
      <c r="I17" s="19"/>
      <c r="J17" s="8" t="s">
        <v>124</v>
      </c>
      <c r="K17" s="27" t="s">
        <v>198</v>
      </c>
      <c r="L17" s="37">
        <v>0.8</v>
      </c>
    </row>
    <row r="18" spans="2:12" ht="20" x14ac:dyDescent="0.55000000000000004">
      <c r="B18" s="9" t="s">
        <v>125</v>
      </c>
      <c r="C18" s="25" t="s">
        <v>179</v>
      </c>
      <c r="D18" s="26">
        <v>2</v>
      </c>
      <c r="F18" s="9" t="s">
        <v>125</v>
      </c>
      <c r="G18" s="25" t="s">
        <v>180</v>
      </c>
      <c r="H18" s="32">
        <v>8.0344827599999995</v>
      </c>
      <c r="I18" s="19"/>
      <c r="J18" s="9" t="s">
        <v>125</v>
      </c>
      <c r="K18" s="25" t="s">
        <v>189</v>
      </c>
      <c r="L18" s="36">
        <v>0.71</v>
      </c>
    </row>
    <row r="19" spans="2:12" ht="20" x14ac:dyDescent="0.55000000000000004">
      <c r="B19" s="8" t="s">
        <v>126</v>
      </c>
      <c r="C19" s="27" t="s">
        <v>170</v>
      </c>
      <c r="D19" s="28">
        <v>3</v>
      </c>
      <c r="F19" s="8" t="s">
        <v>126</v>
      </c>
      <c r="G19" s="27" t="s">
        <v>201</v>
      </c>
      <c r="H19" s="33">
        <v>7.9729729699999998</v>
      </c>
      <c r="I19" s="19"/>
      <c r="J19" s="8" t="s">
        <v>126</v>
      </c>
      <c r="K19" s="27" t="s">
        <v>184</v>
      </c>
      <c r="L19" s="37">
        <v>0.68</v>
      </c>
    </row>
    <row r="20" spans="2:12" ht="20" x14ac:dyDescent="0.55000000000000004">
      <c r="B20" s="9" t="s">
        <v>127</v>
      </c>
      <c r="C20" s="25" t="s">
        <v>186</v>
      </c>
      <c r="D20" s="26">
        <v>4</v>
      </c>
      <c r="F20" s="9" t="s">
        <v>127</v>
      </c>
      <c r="G20" s="25" t="s">
        <v>44</v>
      </c>
      <c r="H20" s="32">
        <v>7.75</v>
      </c>
      <c r="I20" s="19"/>
      <c r="J20" s="9" t="s">
        <v>127</v>
      </c>
      <c r="K20" s="25" t="s">
        <v>185</v>
      </c>
      <c r="L20" s="36">
        <v>0.63</v>
      </c>
    </row>
    <row r="21" spans="2:12" ht="20" x14ac:dyDescent="0.55000000000000004">
      <c r="B21" s="8" t="s">
        <v>128</v>
      </c>
      <c r="C21" s="27" t="s">
        <v>191</v>
      </c>
      <c r="D21" s="28">
        <v>4</v>
      </c>
      <c r="F21" s="8" t="s">
        <v>128</v>
      </c>
      <c r="G21" s="27" t="s">
        <v>202</v>
      </c>
      <c r="H21" s="33">
        <v>7.70491803</v>
      </c>
      <c r="I21" s="19"/>
      <c r="J21" s="8" t="s">
        <v>128</v>
      </c>
      <c r="K21" s="27" t="s">
        <v>200</v>
      </c>
      <c r="L21" s="37">
        <v>0.62</v>
      </c>
    </row>
    <row r="22" spans="2:12" ht="20" x14ac:dyDescent="0.55000000000000004">
      <c r="B22" s="9" t="s">
        <v>129</v>
      </c>
      <c r="C22" s="25" t="s">
        <v>168</v>
      </c>
      <c r="D22" s="26">
        <v>5</v>
      </c>
      <c r="F22" s="9" t="s">
        <v>129</v>
      </c>
      <c r="G22" s="25" t="s">
        <v>193</v>
      </c>
      <c r="H22" s="32">
        <v>7.4090909099999998</v>
      </c>
      <c r="I22" s="19"/>
      <c r="J22" s="9" t="s">
        <v>129</v>
      </c>
      <c r="K22" s="25" t="s">
        <v>6</v>
      </c>
      <c r="L22" s="36">
        <v>0.57999999999999996</v>
      </c>
    </row>
    <row r="23" spans="2:12" ht="20" x14ac:dyDescent="0.55000000000000004">
      <c r="B23" s="8" t="s">
        <v>130</v>
      </c>
      <c r="C23" s="27" t="s">
        <v>190</v>
      </c>
      <c r="D23" s="28">
        <v>5</v>
      </c>
      <c r="F23" s="8" t="s">
        <v>130</v>
      </c>
      <c r="G23" s="27" t="s">
        <v>188</v>
      </c>
      <c r="H23" s="33">
        <v>7.1333333300000001</v>
      </c>
      <c r="I23" s="19"/>
      <c r="J23" s="8" t="s">
        <v>130</v>
      </c>
      <c r="K23" s="27" t="s">
        <v>176</v>
      </c>
      <c r="L23" s="37">
        <v>0.56999999999999995</v>
      </c>
    </row>
    <row r="24" spans="2:12" ht="20" x14ac:dyDescent="0.55000000000000004">
      <c r="B24" s="10" t="s">
        <v>131</v>
      </c>
      <c r="C24" s="29" t="s">
        <v>178</v>
      </c>
      <c r="D24" s="30">
        <v>6</v>
      </c>
      <c r="F24" s="10" t="s">
        <v>131</v>
      </c>
      <c r="G24" s="29" t="s">
        <v>173</v>
      </c>
      <c r="H24" s="34">
        <v>7.125</v>
      </c>
      <c r="I24" s="19"/>
      <c r="J24" s="10" t="s">
        <v>131</v>
      </c>
      <c r="K24" s="29" t="s">
        <v>174</v>
      </c>
      <c r="L24" s="38">
        <v>0.56000000000000005</v>
      </c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tabSelected="1"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143</v>
      </c>
    </row>
    <row r="2" spans="1:9" x14ac:dyDescent="0.55000000000000004">
      <c r="A2" t="s">
        <v>0</v>
      </c>
      <c r="B2">
        <v>540</v>
      </c>
      <c r="C2">
        <v>563</v>
      </c>
      <c r="D2">
        <v>83</v>
      </c>
      <c r="E2" s="4">
        <f>IF($D2=0, "-",B2/$D2)</f>
        <v>6.5060240963855422</v>
      </c>
      <c r="F2" s="4">
        <f>IF($D2=0, "-",C2/$D2)</f>
        <v>6.7831325301204819</v>
      </c>
      <c r="G2" s="11">
        <f>IF(E2="-", "-", E2+F2-13)</f>
        <v>0.28915662650602414</v>
      </c>
    </row>
    <row r="3" spans="1:9" x14ac:dyDescent="0.55000000000000004">
      <c r="A3" t="s">
        <v>1</v>
      </c>
      <c r="B3">
        <v>92</v>
      </c>
      <c r="C3">
        <v>259</v>
      </c>
      <c r="D3">
        <v>25</v>
      </c>
      <c r="E3" s="4">
        <f>IF($D3=0, "-",B3/$D3)</f>
        <v>3.68</v>
      </c>
      <c r="F3" s="4">
        <f>IF($D3=0, "-",C3/$D3)</f>
        <v>10.36</v>
      </c>
      <c r="G3" s="11">
        <f>IF(E3="-", "-", E3+F3-13)</f>
        <v>1.0399999999999991</v>
      </c>
    </row>
    <row r="4" spans="1:9" x14ac:dyDescent="0.55000000000000004">
      <c r="A4" t="s">
        <v>2</v>
      </c>
      <c r="B4">
        <v>26</v>
      </c>
      <c r="C4">
        <v>41</v>
      </c>
      <c r="D4">
        <v>5</v>
      </c>
      <c r="E4" s="4">
        <f>IF($D4=0, "-",B4/$D4)</f>
        <v>5.2</v>
      </c>
      <c r="F4" s="4">
        <f>IF($D4=0, "-",C4/$D4)</f>
        <v>8.1999999999999993</v>
      </c>
      <c r="G4" s="11">
        <f>IF(E4="-", "-", E4+F4-13)</f>
        <v>0.39999999999999858</v>
      </c>
    </row>
    <row r="5" spans="1:9" x14ac:dyDescent="0.55000000000000004">
      <c r="A5" t="s">
        <v>3</v>
      </c>
      <c r="B5">
        <v>2</v>
      </c>
      <c r="C5">
        <v>12</v>
      </c>
      <c r="D5">
        <v>1</v>
      </c>
      <c r="E5" s="4">
        <f>IF($D5=0, "-",B5/$D5)</f>
        <v>2</v>
      </c>
      <c r="F5" s="4">
        <f>IF($D5=0, "-",C5/$D5)</f>
        <v>12</v>
      </c>
      <c r="G5" s="11">
        <f>IF(E5="-", "-", E5+F5-13)</f>
        <v>1</v>
      </c>
    </row>
    <row r="6" spans="1:9" x14ac:dyDescent="0.55000000000000004">
      <c r="A6" t="s">
        <v>4</v>
      </c>
      <c r="B6">
        <v>43</v>
      </c>
      <c r="C6">
        <v>52</v>
      </c>
      <c r="D6">
        <v>7</v>
      </c>
      <c r="E6" s="4">
        <f>IF($D6=0, "-",B6/$D6)</f>
        <v>6.1428571428571432</v>
      </c>
      <c r="F6" s="4">
        <f>IF($D6=0, "-",C6/$D6)</f>
        <v>7.4285714285714288</v>
      </c>
      <c r="G6" s="11">
        <f>IF(E6="-", "-", E6+F6-13)</f>
        <v>0.57142857142857295</v>
      </c>
    </row>
    <row r="7" spans="1:9" x14ac:dyDescent="0.55000000000000004">
      <c r="A7" t="s">
        <v>5</v>
      </c>
      <c r="B7">
        <v>11</v>
      </c>
      <c r="C7">
        <v>31</v>
      </c>
      <c r="D7">
        <v>3</v>
      </c>
      <c r="E7" s="4">
        <f>IF($D7=0, "-",B7/$D7)</f>
        <v>3.6666666666666665</v>
      </c>
      <c r="F7" s="4">
        <f>IF($D7=0, "-",C7/$D7)</f>
        <v>10.333333333333334</v>
      </c>
      <c r="G7" s="11">
        <f>IF(E7="-", "-", E7+F7-13)</f>
        <v>1</v>
      </c>
    </row>
    <row r="8" spans="1:9" x14ac:dyDescent="0.55000000000000004">
      <c r="A8" t="s">
        <v>164</v>
      </c>
      <c r="B8">
        <v>195</v>
      </c>
      <c r="C8">
        <v>253</v>
      </c>
      <c r="D8">
        <v>33</v>
      </c>
      <c r="E8" s="4">
        <f>IF($D8=0, "-",B8/$D8)</f>
        <v>5.9090909090909092</v>
      </c>
      <c r="F8" s="4">
        <f>IF($D8=0, "-",C8/$D8)</f>
        <v>7.666666666666667</v>
      </c>
      <c r="G8" s="11">
        <f>IF(E8="-", "-", E8+F8-13)</f>
        <v>0.57575757575757613</v>
      </c>
    </row>
    <row r="9" spans="1:9" x14ac:dyDescent="0.55000000000000004">
      <c r="A9" t="s">
        <v>7</v>
      </c>
      <c r="B9">
        <v>7</v>
      </c>
      <c r="C9">
        <v>6</v>
      </c>
      <c r="D9">
        <v>1</v>
      </c>
      <c r="E9" s="4">
        <f>IF($D9=0, "-",B9/$D9)</f>
        <v>7</v>
      </c>
      <c r="F9" s="4">
        <f>IF($D9=0, "-",C9/$D9)</f>
        <v>6</v>
      </c>
      <c r="G9" s="11">
        <f>IF(E9="-", "-", E9+F9-13)</f>
        <v>0</v>
      </c>
    </row>
    <row r="10" spans="1:9" x14ac:dyDescent="0.55000000000000004">
      <c r="A10" t="s">
        <v>8</v>
      </c>
      <c r="B10">
        <v>68</v>
      </c>
      <c r="C10">
        <v>128</v>
      </c>
      <c r="D10">
        <v>14</v>
      </c>
      <c r="E10" s="4">
        <f>IF($D10=0, "-",B10/$D10)</f>
        <v>4.8571428571428568</v>
      </c>
      <c r="F10" s="4">
        <f>IF($D10=0, "-",C10/$D10)</f>
        <v>9.1428571428571423</v>
      </c>
      <c r="G10" s="11">
        <f>IF(E10="-", "-", E10+F10-13)</f>
        <v>1</v>
      </c>
    </row>
    <row r="11" spans="1:9" x14ac:dyDescent="0.55000000000000004">
      <c r="A11" t="s">
        <v>9</v>
      </c>
      <c r="B11">
        <v>504</v>
      </c>
      <c r="C11">
        <v>458</v>
      </c>
      <c r="D11">
        <v>73</v>
      </c>
      <c r="E11" s="4">
        <f>IF($D11=0, "-",B11/$D11)</f>
        <v>6.904109589041096</v>
      </c>
      <c r="F11" s="4">
        <f>IF($D11=0, "-",C11/$D11)</f>
        <v>6.2739726027397262</v>
      </c>
      <c r="G11" s="11">
        <f>IF(E11="-", "-", E11+F11-13)</f>
        <v>0.17808219178082219</v>
      </c>
    </row>
    <row r="12" spans="1:9" x14ac:dyDescent="0.55000000000000004">
      <c r="A12" t="s">
        <v>10</v>
      </c>
      <c r="B12">
        <v>292</v>
      </c>
      <c r="C12">
        <v>252</v>
      </c>
      <c r="D12">
        <v>41</v>
      </c>
      <c r="E12" s="4">
        <f>IF($D12=0, "-",B12/$D12)</f>
        <v>7.1219512195121952</v>
      </c>
      <c r="F12" s="4">
        <f>IF($D12=0, "-",C12/$D12)</f>
        <v>6.1463414634146343</v>
      </c>
      <c r="G12" s="11">
        <f>IF(E12="-", "-", E12+F12-13)</f>
        <v>0.26829268292683039</v>
      </c>
    </row>
    <row r="13" spans="1:9" x14ac:dyDescent="0.55000000000000004">
      <c r="A13" t="s">
        <v>11</v>
      </c>
      <c r="B13">
        <v>317</v>
      </c>
      <c r="C13">
        <v>291</v>
      </c>
      <c r="D13">
        <v>46</v>
      </c>
      <c r="E13" s="4">
        <f>IF($D13=0, "-",B13/$D13)</f>
        <v>6.8913043478260869</v>
      </c>
      <c r="F13" s="4">
        <f>IF($D13=0, "-",C13/$D13)</f>
        <v>6.3260869565217392</v>
      </c>
      <c r="G13" s="11">
        <f>IF(E13="-", "-", E13+F13-13)</f>
        <v>0.21739130434782616</v>
      </c>
    </row>
    <row r="14" spans="1:9" x14ac:dyDescent="0.55000000000000004">
      <c r="A14" t="s">
        <v>12</v>
      </c>
      <c r="B14">
        <v>62</v>
      </c>
      <c r="C14">
        <v>69</v>
      </c>
      <c r="D14">
        <v>10</v>
      </c>
      <c r="E14" s="4">
        <f>IF($D14=0, "-",B14/$D14)</f>
        <v>6.2</v>
      </c>
      <c r="F14" s="4">
        <f>IF($D14=0, "-",C14/$D14)</f>
        <v>6.9</v>
      </c>
      <c r="G14" s="11">
        <f>IF(E14="-", "-", E14+F14-13)</f>
        <v>0.10000000000000142</v>
      </c>
    </row>
    <row r="15" spans="1:9" x14ac:dyDescent="0.55000000000000004">
      <c r="A15" t="s">
        <v>13</v>
      </c>
      <c r="B15">
        <v>114</v>
      </c>
      <c r="C15">
        <v>95</v>
      </c>
      <c r="D15">
        <v>16</v>
      </c>
      <c r="E15" s="4">
        <f>IF($D15=0, "-",B15/$D15)</f>
        <v>7.125</v>
      </c>
      <c r="F15" s="4">
        <f>IF($D15=0, "-",C15/$D15)</f>
        <v>5.9375</v>
      </c>
      <c r="G15" s="11">
        <f>IF(E15="-", "-", E15+F15-13)</f>
        <v>6.25E-2</v>
      </c>
    </row>
    <row r="16" spans="1:9" x14ac:dyDescent="0.55000000000000004">
      <c r="A16" t="s">
        <v>14</v>
      </c>
      <c r="B16">
        <v>144</v>
      </c>
      <c r="C16">
        <v>222</v>
      </c>
      <c r="D16">
        <v>27</v>
      </c>
      <c r="E16" s="4">
        <f>IF($D16=0, "-",B16/$D16)</f>
        <v>5.333333333333333</v>
      </c>
      <c r="F16" s="4">
        <f>IF($D16=0, "-",C16/$D16)</f>
        <v>8.2222222222222214</v>
      </c>
      <c r="G16" s="11">
        <f>IF(E16="-", "-", E16+F16-13)</f>
        <v>0.55555555555555358</v>
      </c>
    </row>
    <row r="17" spans="1:7" x14ac:dyDescent="0.55000000000000004">
      <c r="A17" t="s">
        <v>15</v>
      </c>
      <c r="B17">
        <v>17</v>
      </c>
      <c r="C17">
        <v>9</v>
      </c>
      <c r="D17">
        <v>2</v>
      </c>
      <c r="E17" s="4">
        <f>IF($D17=0, "-",B17/$D17)</f>
        <v>8.5</v>
      </c>
      <c r="F17" s="4">
        <f>IF($D17=0, "-",C17/$D17)</f>
        <v>4.5</v>
      </c>
      <c r="G17" s="11">
        <f>IF(E17="-", "-", E17+F17-13)</f>
        <v>0</v>
      </c>
    </row>
    <row r="18" spans="1:7" x14ac:dyDescent="0.55000000000000004">
      <c r="A18" t="s">
        <v>16</v>
      </c>
      <c r="B18">
        <v>259</v>
      </c>
      <c r="C18">
        <v>311</v>
      </c>
      <c r="D18">
        <v>42</v>
      </c>
      <c r="E18" s="4">
        <f>IF($D18=0, "-",B18/$D18)</f>
        <v>6.166666666666667</v>
      </c>
      <c r="F18" s="4">
        <f>IF($D18=0, "-",C18/$D18)</f>
        <v>7.4047619047619051</v>
      </c>
      <c r="G18" s="11">
        <f>IF(E18="-", "-", E18+F18-13)</f>
        <v>0.57142857142857295</v>
      </c>
    </row>
    <row r="19" spans="1:7" x14ac:dyDescent="0.55000000000000004">
      <c r="A19" t="s">
        <v>17</v>
      </c>
      <c r="B19">
        <v>433</v>
      </c>
      <c r="C19">
        <v>389</v>
      </c>
      <c r="D19">
        <v>62</v>
      </c>
      <c r="E19" s="4">
        <f>IF($D19=0, "-",B19/$D19)</f>
        <v>6.9838709677419351</v>
      </c>
      <c r="F19" s="4">
        <f>IF($D19=0, "-",C19/$D19)</f>
        <v>6.274193548387097</v>
      </c>
      <c r="G19" s="11">
        <f>IF(E19="-", "-", E19+F19-13)</f>
        <v>0.25806451612903203</v>
      </c>
    </row>
    <row r="20" spans="1:7" x14ac:dyDescent="0.55000000000000004">
      <c r="A20" t="s">
        <v>18</v>
      </c>
      <c r="B20">
        <v>47</v>
      </c>
      <c r="C20">
        <v>31</v>
      </c>
      <c r="D20">
        <v>6</v>
      </c>
      <c r="E20" s="4">
        <f>IF($D20=0, "-",B20/$D20)</f>
        <v>7.833333333333333</v>
      </c>
      <c r="F20" s="4">
        <f>IF($D20=0, "-",C20/$D20)</f>
        <v>5.166666666666667</v>
      </c>
      <c r="G20" s="11">
        <f>IF(E20="-", "-", E20+F20-13)</f>
        <v>0</v>
      </c>
    </row>
    <row r="21" spans="1:7" x14ac:dyDescent="0.55000000000000004">
      <c r="A21" t="s">
        <v>19</v>
      </c>
      <c r="B21">
        <v>12</v>
      </c>
      <c r="C21">
        <v>17</v>
      </c>
      <c r="D21">
        <v>2</v>
      </c>
      <c r="E21" s="4">
        <f>IF($D21=0, "-",B21/$D21)</f>
        <v>6</v>
      </c>
      <c r="F21" s="4">
        <f>IF($D21=0, "-",C21/$D21)</f>
        <v>8.5</v>
      </c>
      <c r="G21" s="11">
        <f>IF(E21="-", "-", E21+F21-13)</f>
        <v>1.5</v>
      </c>
    </row>
    <row r="22" spans="1:7" x14ac:dyDescent="0.55000000000000004">
      <c r="A22" t="s">
        <v>20</v>
      </c>
      <c r="B22">
        <v>83</v>
      </c>
      <c r="C22">
        <v>104</v>
      </c>
      <c r="D22">
        <v>14</v>
      </c>
      <c r="E22" s="4">
        <f>IF($D22=0, "-",B22/$D22)</f>
        <v>5.9285714285714288</v>
      </c>
      <c r="F22" s="4">
        <f>IF($D22=0, "-",C22/$D22)</f>
        <v>7.4285714285714288</v>
      </c>
      <c r="G22" s="11">
        <f>IF(E22="-", "-", E22+F22-13)</f>
        <v>0.35714285714285765</v>
      </c>
    </row>
    <row r="23" spans="1:7" x14ac:dyDescent="0.55000000000000004">
      <c r="A23" t="s">
        <v>21</v>
      </c>
      <c r="B23">
        <v>233</v>
      </c>
      <c r="C23">
        <v>149</v>
      </c>
      <c r="D23">
        <v>29</v>
      </c>
      <c r="E23" s="4">
        <f>IF($D23=0, "-",B23/$D23)</f>
        <v>8.0344827586206904</v>
      </c>
      <c r="F23" s="4">
        <f>IF($D23=0, "-",C23/$D23)</f>
        <v>5.1379310344827589</v>
      </c>
      <c r="G23" s="11">
        <f>IF(E23="-", "-", E23+F23-13)</f>
        <v>0.1724137931034484</v>
      </c>
    </row>
    <row r="24" spans="1:7" x14ac:dyDescent="0.55000000000000004">
      <c r="A24" t="s">
        <v>22</v>
      </c>
      <c r="B24">
        <v>36</v>
      </c>
      <c r="C24">
        <v>43</v>
      </c>
      <c r="D24">
        <v>6</v>
      </c>
      <c r="E24" s="4">
        <f>IF($D24=0, "-",B24/$D24)</f>
        <v>6</v>
      </c>
      <c r="F24" s="4">
        <f>IF($D24=0, "-",C24/$D24)</f>
        <v>7.166666666666667</v>
      </c>
      <c r="G24" s="11">
        <f>IF(E24="-", "-", E24+F24-13)</f>
        <v>0.16666666666666785</v>
      </c>
    </row>
    <row r="25" spans="1:7" x14ac:dyDescent="0.55000000000000004">
      <c r="A25" t="s">
        <v>23</v>
      </c>
      <c r="B25">
        <v>333</v>
      </c>
      <c r="C25">
        <v>333</v>
      </c>
      <c r="D25">
        <v>50</v>
      </c>
      <c r="E25" s="4">
        <f>IF($D25=0, "-",B25/$D25)</f>
        <v>6.66</v>
      </c>
      <c r="F25" s="4">
        <f>IF($D25=0, "-",C25/$D25)</f>
        <v>6.66</v>
      </c>
      <c r="G25" s="11">
        <f>IF(E25="-", "-", E25+F25-13)</f>
        <v>0.32000000000000028</v>
      </c>
    </row>
    <row r="26" spans="1:7" x14ac:dyDescent="0.55000000000000004">
      <c r="A26" t="s">
        <v>24</v>
      </c>
      <c r="B26">
        <v>485</v>
      </c>
      <c r="C26">
        <v>638</v>
      </c>
      <c r="D26">
        <v>84</v>
      </c>
      <c r="E26" s="4">
        <f>IF($D26=0, "-",B26/$D26)</f>
        <v>5.7738095238095237</v>
      </c>
      <c r="F26" s="4">
        <f>IF($D26=0, "-",C26/$D26)</f>
        <v>7.5952380952380949</v>
      </c>
      <c r="G26" s="11">
        <f>IF(E26="-", "-", E26+F26-13)</f>
        <v>0.36904761904761862</v>
      </c>
    </row>
    <row r="27" spans="1:7" x14ac:dyDescent="0.55000000000000004">
      <c r="A27" t="s">
        <v>25</v>
      </c>
      <c r="B27">
        <v>76</v>
      </c>
      <c r="C27">
        <v>96</v>
      </c>
      <c r="D27">
        <v>13</v>
      </c>
      <c r="E27" s="4">
        <f>IF($D27=0, "-",B27/$D27)</f>
        <v>5.8461538461538458</v>
      </c>
      <c r="F27" s="4">
        <f>IF($D27=0, "-",C27/$D27)</f>
        <v>7.384615384615385</v>
      </c>
      <c r="G27" s="11">
        <f>IF(E27="-", "-", E27+F27-13)</f>
        <v>0.23076923076922995</v>
      </c>
    </row>
    <row r="28" spans="1:7" x14ac:dyDescent="0.55000000000000004">
      <c r="A28" t="s">
        <v>26</v>
      </c>
      <c r="B28">
        <v>221</v>
      </c>
      <c r="C28">
        <v>130</v>
      </c>
      <c r="D28">
        <v>27</v>
      </c>
      <c r="E28" s="4">
        <f>IF($D28=0, "-",B28/$D28)</f>
        <v>8.1851851851851851</v>
      </c>
      <c r="F28" s="4">
        <f>IF($D28=0, "-",C28/$D28)</f>
        <v>4.8148148148148149</v>
      </c>
      <c r="G28" s="11">
        <f>IF(E28="-", "-", E28+F28-13)</f>
        <v>0</v>
      </c>
    </row>
    <row r="29" spans="1:7" x14ac:dyDescent="0.55000000000000004">
      <c r="A29" t="s">
        <v>27</v>
      </c>
      <c r="B29">
        <v>35</v>
      </c>
      <c r="C29">
        <v>61</v>
      </c>
      <c r="D29">
        <v>7</v>
      </c>
      <c r="E29" s="4">
        <f>IF($D29=0, "-",B29/$D29)</f>
        <v>5</v>
      </c>
      <c r="F29" s="4">
        <f>IF($D29=0, "-",C29/$D29)</f>
        <v>8.7142857142857135</v>
      </c>
      <c r="G29" s="11">
        <f>IF(E29="-", "-", E29+F29-13)</f>
        <v>0.71428571428571352</v>
      </c>
    </row>
    <row r="30" spans="1:7" x14ac:dyDescent="0.55000000000000004">
      <c r="A30" t="s">
        <v>28</v>
      </c>
      <c r="B30">
        <v>125</v>
      </c>
      <c r="C30">
        <v>123</v>
      </c>
      <c r="D30">
        <v>19</v>
      </c>
      <c r="E30" s="4">
        <f>IF($D30=0, "-",B30/$D30)</f>
        <v>6.5789473684210522</v>
      </c>
      <c r="F30" s="4">
        <f>IF($D30=0, "-",C30/$D30)</f>
        <v>6.4736842105263159</v>
      </c>
      <c r="G30" s="11">
        <f>IF(E30="-", "-", E30+F30-13)</f>
        <v>5.2631578947368141E-2</v>
      </c>
    </row>
    <row r="31" spans="1:7" x14ac:dyDescent="0.55000000000000004">
      <c r="A31" t="s">
        <v>29</v>
      </c>
      <c r="B31">
        <v>103</v>
      </c>
      <c r="C31">
        <v>157</v>
      </c>
      <c r="D31">
        <v>19</v>
      </c>
      <c r="E31" s="4">
        <f>IF($D31=0, "-",B31/$D31)</f>
        <v>5.4210526315789478</v>
      </c>
      <c r="F31" s="4">
        <f>IF($D31=0, "-",C31/$D31)</f>
        <v>8.2631578947368425</v>
      </c>
      <c r="G31" s="11">
        <f>IF(E31="-", "-", E31+F31-13)</f>
        <v>0.68421052631579116</v>
      </c>
    </row>
    <row r="32" spans="1:7" x14ac:dyDescent="0.55000000000000004">
      <c r="A32" t="s">
        <v>30</v>
      </c>
      <c r="B32">
        <v>189</v>
      </c>
      <c r="C32">
        <v>171</v>
      </c>
      <c r="D32">
        <v>27</v>
      </c>
      <c r="E32" s="4">
        <f>IF($D32=0, "-",B32/$D32)</f>
        <v>7</v>
      </c>
      <c r="F32" s="4">
        <f>IF($D32=0, "-",C32/$D32)</f>
        <v>6.333333333333333</v>
      </c>
      <c r="G32" s="11">
        <f>IF(E32="-", "-", E32+F32-13)</f>
        <v>0.33333333333333215</v>
      </c>
    </row>
    <row r="33" spans="1:7" x14ac:dyDescent="0.55000000000000004">
      <c r="A33" t="s">
        <v>31</v>
      </c>
      <c r="B33">
        <v>198</v>
      </c>
      <c r="C33">
        <v>238</v>
      </c>
      <c r="D33">
        <v>32</v>
      </c>
      <c r="E33" s="4">
        <f>IF($D33=0, "-",B33/$D33)</f>
        <v>6.1875</v>
      </c>
      <c r="F33" s="4">
        <f>IF($D33=0, "-",C33/$D33)</f>
        <v>7.4375</v>
      </c>
      <c r="G33" s="11">
        <f>IF(E33="-", "-", E33+F33-13)</f>
        <v>0.625</v>
      </c>
    </row>
    <row r="34" spans="1:7" x14ac:dyDescent="0.55000000000000004">
      <c r="A34" t="s">
        <v>32</v>
      </c>
      <c r="B34">
        <v>32</v>
      </c>
      <c r="C34">
        <v>20</v>
      </c>
      <c r="D34">
        <v>4</v>
      </c>
      <c r="E34" s="4">
        <f>IF($D34=0, "-",B34/$D34)</f>
        <v>8</v>
      </c>
      <c r="F34" s="4">
        <f>IF($D34=0, "-",C34/$D34)</f>
        <v>5</v>
      </c>
      <c r="G34" s="11">
        <f>IF(E34="-", "-", E34+F34-13)</f>
        <v>0</v>
      </c>
    </row>
    <row r="35" spans="1:7" x14ac:dyDescent="0.55000000000000004">
      <c r="A35" t="s">
        <v>33</v>
      </c>
      <c r="B35">
        <v>681</v>
      </c>
      <c r="C35">
        <v>672</v>
      </c>
      <c r="D35">
        <v>102</v>
      </c>
      <c r="E35" s="4">
        <f>IF($D35=0, "-",B35/$D35)</f>
        <v>6.6764705882352944</v>
      </c>
      <c r="F35" s="4">
        <f>IF($D35=0, "-",C35/$D35)</f>
        <v>6.5882352941176467</v>
      </c>
      <c r="G35" s="11">
        <f>IF(E35="-", "-", E35+F35-13)</f>
        <v>0.26470588235294201</v>
      </c>
    </row>
    <row r="36" spans="1:7" x14ac:dyDescent="0.55000000000000004">
      <c r="A36" t="s">
        <v>34</v>
      </c>
      <c r="B36">
        <v>44</v>
      </c>
      <c r="C36">
        <v>49</v>
      </c>
      <c r="D36">
        <v>7</v>
      </c>
      <c r="E36" s="4">
        <f>IF($D36=0, "-",B36/$D36)</f>
        <v>6.2857142857142856</v>
      </c>
      <c r="F36" s="4">
        <f>IF($D36=0, "-",C36/$D36)</f>
        <v>7</v>
      </c>
      <c r="G36" s="11">
        <f>IF(E36="-", "-", E36+F36-13)</f>
        <v>0.2857142857142847</v>
      </c>
    </row>
    <row r="37" spans="1:7" x14ac:dyDescent="0.55000000000000004">
      <c r="A37" t="s">
        <v>35</v>
      </c>
      <c r="B37">
        <v>51</v>
      </c>
      <c r="C37">
        <v>88</v>
      </c>
      <c r="D37">
        <v>10</v>
      </c>
      <c r="E37" s="4">
        <f>IF($D37=0, "-",B37/$D37)</f>
        <v>5.0999999999999996</v>
      </c>
      <c r="F37" s="4">
        <f>IF($D37=0, "-",C37/$D37)</f>
        <v>8.8000000000000007</v>
      </c>
      <c r="G37" s="11">
        <f>IF(E37="-", "-", E37+F37-13)</f>
        <v>0.90000000000000036</v>
      </c>
    </row>
    <row r="38" spans="1:7" x14ac:dyDescent="0.55000000000000004">
      <c r="A38" t="s">
        <v>36</v>
      </c>
      <c r="B38">
        <v>107</v>
      </c>
      <c r="C38">
        <v>90</v>
      </c>
      <c r="D38">
        <v>15</v>
      </c>
      <c r="E38" s="4">
        <f>IF($D38=0, "-",B38/$D38)</f>
        <v>7.1333333333333337</v>
      </c>
      <c r="F38" s="4">
        <f>IF($D38=0, "-",C38/$D38)</f>
        <v>6</v>
      </c>
      <c r="G38" s="11">
        <f>IF(E38="-", "-", E38+F38-13)</f>
        <v>0.13333333333333286</v>
      </c>
    </row>
    <row r="39" spans="1:7" x14ac:dyDescent="0.55000000000000004">
      <c r="A39" t="s">
        <v>37</v>
      </c>
      <c r="B39">
        <v>155</v>
      </c>
      <c r="C39">
        <v>229</v>
      </c>
      <c r="D39">
        <v>28</v>
      </c>
      <c r="E39" s="4">
        <f>IF($D39=0, "-",B39/$D39)</f>
        <v>5.5357142857142856</v>
      </c>
      <c r="F39" s="4">
        <f>IF($D39=0, "-",C39/$D39)</f>
        <v>8.1785714285714288</v>
      </c>
      <c r="G39" s="11">
        <f>IF(E39="-", "-", E39+F39-13)</f>
        <v>0.7142857142857153</v>
      </c>
    </row>
    <row r="40" spans="1:7" x14ac:dyDescent="0.55000000000000004">
      <c r="A40" t="s">
        <v>38</v>
      </c>
      <c r="B40">
        <v>39</v>
      </c>
      <c r="C40">
        <v>26</v>
      </c>
      <c r="D40">
        <v>5</v>
      </c>
      <c r="E40" s="4">
        <f>IF($D40=0, "-",B40/$D40)</f>
        <v>7.8</v>
      </c>
      <c r="F40" s="4">
        <f>IF($D40=0, "-",C40/$D40)</f>
        <v>5.2</v>
      </c>
      <c r="G40" s="11">
        <f>IF(E40="-", "-", E40+F40-13)</f>
        <v>0</v>
      </c>
    </row>
    <row r="41" spans="1:7" x14ac:dyDescent="0.55000000000000004">
      <c r="A41" t="s">
        <v>39</v>
      </c>
      <c r="B41">
        <v>85</v>
      </c>
      <c r="C41">
        <v>58</v>
      </c>
      <c r="D41">
        <v>11</v>
      </c>
      <c r="E41" s="4">
        <f>IF($D41=0, "-",B41/$D41)</f>
        <v>7.7272727272727275</v>
      </c>
      <c r="F41" s="4">
        <f>IF($D41=0, "-",C41/$D41)</f>
        <v>5.2727272727272725</v>
      </c>
      <c r="G41" s="11">
        <f>IF(E41="-", "-", E41+F41-13)</f>
        <v>0</v>
      </c>
    </row>
    <row r="42" spans="1:7" x14ac:dyDescent="0.55000000000000004">
      <c r="A42" t="s">
        <v>40</v>
      </c>
      <c r="B42">
        <v>40</v>
      </c>
      <c r="C42">
        <v>12</v>
      </c>
      <c r="D42">
        <v>4</v>
      </c>
      <c r="E42" s="4">
        <f>IF($D42=0, "-",B42/$D42)</f>
        <v>10</v>
      </c>
      <c r="F42" s="4">
        <f>IF($D42=0, "-",C42/$D42)</f>
        <v>3</v>
      </c>
      <c r="G42" s="11">
        <f>IF(E42="-", "-", E42+F42-13)</f>
        <v>0</v>
      </c>
    </row>
    <row r="43" spans="1:7" x14ac:dyDescent="0.55000000000000004">
      <c r="A43" t="s">
        <v>41</v>
      </c>
      <c r="B43">
        <v>80</v>
      </c>
      <c r="C43">
        <v>80</v>
      </c>
      <c r="D43">
        <v>12</v>
      </c>
      <c r="E43" s="4">
        <f>IF($D43=0, "-",B43/$D43)</f>
        <v>6.666666666666667</v>
      </c>
      <c r="F43" s="4">
        <f>IF($D43=0, "-",C43/$D43)</f>
        <v>6.666666666666667</v>
      </c>
      <c r="G43" s="11">
        <f>IF(E43="-", "-", E43+F43-13)</f>
        <v>0.33333333333333393</v>
      </c>
    </row>
    <row r="44" spans="1:7" x14ac:dyDescent="0.55000000000000004">
      <c r="A44" t="s">
        <v>42</v>
      </c>
      <c r="B44">
        <v>421</v>
      </c>
      <c r="C44">
        <v>381</v>
      </c>
      <c r="D44">
        <v>61</v>
      </c>
      <c r="E44" s="4">
        <f>IF($D44=0, "-",B44/$D44)</f>
        <v>6.9016393442622954</v>
      </c>
      <c r="F44" s="4">
        <f>IF($D44=0, "-",C44/$D44)</f>
        <v>6.2459016393442619</v>
      </c>
      <c r="G44" s="11">
        <f>IF(E44="-", "-", E44+F44-13)</f>
        <v>0.14754098360655732</v>
      </c>
    </row>
    <row r="45" spans="1:7" x14ac:dyDescent="0.55000000000000004">
      <c r="A45" t="s">
        <v>43</v>
      </c>
      <c r="B45">
        <v>231</v>
      </c>
      <c r="C45">
        <v>216</v>
      </c>
      <c r="D45">
        <v>34</v>
      </c>
      <c r="E45" s="4">
        <f>IF($D45=0, "-",B45/$D45)</f>
        <v>6.7941176470588234</v>
      </c>
      <c r="F45" s="4">
        <f>IF($D45=0, "-",C45/$D45)</f>
        <v>6.3529411764705879</v>
      </c>
      <c r="G45" s="11">
        <f>IF(E45="-", "-", E45+F45-13)</f>
        <v>0.14705882352941124</v>
      </c>
    </row>
    <row r="46" spans="1:7" x14ac:dyDescent="0.55000000000000004">
      <c r="A46" t="s">
        <v>165</v>
      </c>
      <c r="B46">
        <v>124</v>
      </c>
      <c r="C46">
        <v>84</v>
      </c>
      <c r="D46">
        <v>16</v>
      </c>
      <c r="E46" s="4">
        <f>IF($D46=0, "-",B46/$D46)</f>
        <v>7.75</v>
      </c>
      <c r="F46" s="4">
        <f>IF($D46=0, "-",C46/$D46)</f>
        <v>5.25</v>
      </c>
      <c r="G46" s="11">
        <f>IF(E46="-", "-", E46+F46-13)</f>
        <v>0</v>
      </c>
    </row>
    <row r="47" spans="1:7" x14ac:dyDescent="0.55000000000000004">
      <c r="A47" t="s">
        <v>45</v>
      </c>
      <c r="B47">
        <v>326</v>
      </c>
      <c r="C47">
        <v>254</v>
      </c>
      <c r="D47">
        <v>44</v>
      </c>
      <c r="E47" s="4">
        <f>IF($D47=0, "-",B47/$D47)</f>
        <v>7.4090909090909092</v>
      </c>
      <c r="F47" s="4">
        <f>IF($D47=0, "-",C47/$D47)</f>
        <v>5.7727272727272725</v>
      </c>
      <c r="G47" s="11">
        <f>IF(E47="-", "-", E47+F47-13)</f>
        <v>0.18181818181818166</v>
      </c>
    </row>
    <row r="48" spans="1:7" x14ac:dyDescent="0.55000000000000004">
      <c r="A48" t="s">
        <v>46</v>
      </c>
      <c r="B48">
        <v>80</v>
      </c>
      <c r="C48">
        <v>123</v>
      </c>
      <c r="D48">
        <v>15</v>
      </c>
      <c r="E48" s="4">
        <f>IF($D48=0, "-",B48/$D48)</f>
        <v>5.333333333333333</v>
      </c>
      <c r="F48" s="4">
        <f>IF($D48=0, "-",C48/$D48)</f>
        <v>8.1999999999999993</v>
      </c>
      <c r="G48" s="11">
        <f>IF(E48="-", "-", E48+F48-13)</f>
        <v>0.53333333333333144</v>
      </c>
    </row>
    <row r="49" spans="1:7" x14ac:dyDescent="0.55000000000000004">
      <c r="A49" t="s">
        <v>47</v>
      </c>
      <c r="B49">
        <v>95</v>
      </c>
      <c r="C49">
        <v>35</v>
      </c>
      <c r="D49">
        <v>10</v>
      </c>
      <c r="E49" s="4">
        <f>IF($D49=0, "-",B49/$D49)</f>
        <v>9.5</v>
      </c>
      <c r="F49" s="4">
        <f>IF($D49=0, "-",C49/$D49)</f>
        <v>3.5</v>
      </c>
      <c r="G49" s="11">
        <f>IF(E49="-", "-", E49+F49-13)</f>
        <v>0</v>
      </c>
    </row>
    <row r="50" spans="1:7" x14ac:dyDescent="0.55000000000000004">
      <c r="A50" t="s">
        <v>48</v>
      </c>
      <c r="B50">
        <v>327</v>
      </c>
      <c r="C50">
        <v>683</v>
      </c>
      <c r="D50">
        <v>72</v>
      </c>
      <c r="E50" s="4">
        <f>IF($D50=0, "-",B50/$D50)</f>
        <v>4.541666666666667</v>
      </c>
      <c r="F50" s="4">
        <f>IF($D50=0, "-",C50/$D50)</f>
        <v>9.4861111111111107</v>
      </c>
      <c r="G50" s="11">
        <f>IF(E50="-", "-", E50+F50-13)</f>
        <v>1.0277777777777786</v>
      </c>
    </row>
    <row r="51" spans="1:7" x14ac:dyDescent="0.55000000000000004">
      <c r="A51" t="s">
        <v>49</v>
      </c>
      <c r="B51">
        <v>151</v>
      </c>
      <c r="C51">
        <v>73</v>
      </c>
      <c r="D51">
        <v>17</v>
      </c>
      <c r="E51" s="4">
        <f>IF($D51=0, "-",B51/$D51)</f>
        <v>8.882352941176471</v>
      </c>
      <c r="F51" s="4">
        <f>IF($D51=0, "-",C51/$D51)</f>
        <v>4.2941176470588234</v>
      </c>
      <c r="G51" s="11">
        <f>IF(E51="-", "-", E51+F51-13)</f>
        <v>0.17647058823529349</v>
      </c>
    </row>
    <row r="52" spans="1:7" x14ac:dyDescent="0.55000000000000004">
      <c r="A52" t="s">
        <v>50</v>
      </c>
      <c r="B52">
        <v>32</v>
      </c>
      <c r="C52">
        <v>48</v>
      </c>
      <c r="D52">
        <v>6</v>
      </c>
      <c r="E52" s="4">
        <f>IF($D52=0, "-",B52/$D52)</f>
        <v>5.333333333333333</v>
      </c>
      <c r="F52" s="4">
        <f>IF($D52=0, "-",C52/$D52)</f>
        <v>8</v>
      </c>
      <c r="G52" s="11">
        <f>IF(E52="-", "-", E52+F52-13)</f>
        <v>0.33333333333333215</v>
      </c>
    </row>
    <row r="53" spans="1:7" x14ac:dyDescent="0.55000000000000004">
      <c r="A53" t="s">
        <v>51</v>
      </c>
      <c r="B53">
        <v>179</v>
      </c>
      <c r="C53">
        <v>222</v>
      </c>
      <c r="D53">
        <v>30</v>
      </c>
      <c r="E53" s="4">
        <f>IF($D53=0, "-",B53/$D53)</f>
        <v>5.9666666666666668</v>
      </c>
      <c r="F53" s="4">
        <f>IF($D53=0, "-",C53/$D53)</f>
        <v>7.4</v>
      </c>
      <c r="G53" s="11">
        <f>IF(E53="-", "-", E53+F53-13)</f>
        <v>0.36666666666666714</v>
      </c>
    </row>
    <row r="54" spans="1:7" x14ac:dyDescent="0.55000000000000004">
      <c r="A54" t="s">
        <v>52</v>
      </c>
      <c r="B54">
        <v>135</v>
      </c>
      <c r="C54">
        <v>200</v>
      </c>
      <c r="D54">
        <v>25</v>
      </c>
      <c r="E54" s="4">
        <f>IF($D54=0, "-",B54/$D54)</f>
        <v>5.4</v>
      </c>
      <c r="F54" s="4">
        <f>IF($D54=0, "-",C54/$D54)</f>
        <v>8</v>
      </c>
      <c r="G54" s="11">
        <f>IF(E54="-", "-", E54+F54-13)</f>
        <v>0.40000000000000036</v>
      </c>
    </row>
    <row r="55" spans="1:7" x14ac:dyDescent="0.55000000000000004">
      <c r="A55" t="s">
        <v>53</v>
      </c>
      <c r="B55">
        <v>169</v>
      </c>
      <c r="C55">
        <v>207</v>
      </c>
      <c r="D55">
        <v>28</v>
      </c>
      <c r="E55" s="4">
        <f>IF($D55=0, "-",B55/$D55)</f>
        <v>6.0357142857142856</v>
      </c>
      <c r="F55" s="4">
        <f>IF($D55=0, "-",C55/$D55)</f>
        <v>7.3928571428571432</v>
      </c>
      <c r="G55" s="11">
        <f>IF(E55="-", "-", E55+F55-13)</f>
        <v>0.42857142857142883</v>
      </c>
    </row>
    <row r="56" spans="1:7" x14ac:dyDescent="0.55000000000000004">
      <c r="A56" t="s">
        <v>54</v>
      </c>
      <c r="B56">
        <v>71</v>
      </c>
      <c r="C56">
        <v>118</v>
      </c>
      <c r="D56">
        <v>14</v>
      </c>
      <c r="E56" s="4">
        <f>IF($D56=0, "-",B56/$D56)</f>
        <v>5.0714285714285712</v>
      </c>
      <c r="F56" s="4">
        <f>IF($D56=0, "-",C56/$D56)</f>
        <v>8.4285714285714288</v>
      </c>
      <c r="G56" s="11">
        <f>IF(E56="-", "-", E56+F56-13)</f>
        <v>0.5</v>
      </c>
    </row>
    <row r="57" spans="1:7" x14ac:dyDescent="0.55000000000000004">
      <c r="A57" t="s">
        <v>55</v>
      </c>
      <c r="B57">
        <v>106</v>
      </c>
      <c r="C57">
        <v>76</v>
      </c>
      <c r="D57">
        <v>14</v>
      </c>
      <c r="E57" s="4">
        <f>IF($D57=0, "-",B57/$D57)</f>
        <v>7.5714285714285712</v>
      </c>
      <c r="F57" s="4">
        <f>IF($D57=0, "-",C57/$D57)</f>
        <v>5.4285714285714288</v>
      </c>
      <c r="G57" s="11">
        <f>IF(E57="-", "-", E57+F57-13)</f>
        <v>0</v>
      </c>
    </row>
    <row r="58" spans="1:7" x14ac:dyDescent="0.55000000000000004">
      <c r="A58" t="s">
        <v>138</v>
      </c>
      <c r="B58">
        <v>263</v>
      </c>
      <c r="C58">
        <v>427</v>
      </c>
      <c r="D58">
        <v>50</v>
      </c>
      <c r="E58" s="4">
        <f>IF($D58=0, "-",B58/$D58)</f>
        <v>5.26</v>
      </c>
      <c r="F58" s="4">
        <f>IF($D58=0, "-",C58/$D58)</f>
        <v>8.5399999999999991</v>
      </c>
      <c r="G58" s="11">
        <f>IF(E58="-", "-", E58+F58-13)</f>
        <v>0.79999999999999893</v>
      </c>
    </row>
    <row r="59" spans="1:7" x14ac:dyDescent="0.55000000000000004">
      <c r="A59" t="s">
        <v>139</v>
      </c>
      <c r="B59">
        <v>179</v>
      </c>
      <c r="C59">
        <v>207</v>
      </c>
      <c r="D59">
        <v>29</v>
      </c>
      <c r="E59" s="4">
        <f>IF($D59=0, "-",B59/$D59)</f>
        <v>6.1724137931034484</v>
      </c>
      <c r="F59" s="4">
        <f>IF($D59=0, "-",C59/$D59)</f>
        <v>7.1379310344827589</v>
      </c>
      <c r="G59" s="11">
        <f>IF(E59="-", "-", E59+F59-13)</f>
        <v>0.31034482758620641</v>
      </c>
    </row>
    <row r="60" spans="1:7" x14ac:dyDescent="0.55000000000000004">
      <c r="A60" t="s">
        <v>140</v>
      </c>
      <c r="B60">
        <v>101</v>
      </c>
      <c r="C60">
        <v>141</v>
      </c>
      <c r="D60">
        <v>18</v>
      </c>
      <c r="E60" s="4">
        <f>IF($D60=0, "-",B60/$D60)</f>
        <v>5.6111111111111107</v>
      </c>
      <c r="F60" s="4">
        <f>IF($D60=0, "-",C60/$D60)</f>
        <v>7.833333333333333</v>
      </c>
      <c r="G60" s="11">
        <f>IF(E60="-", "-", E60+F60-13)</f>
        <v>0.44444444444444287</v>
      </c>
    </row>
    <row r="61" spans="1:7" x14ac:dyDescent="0.55000000000000004">
      <c r="A61" t="s">
        <v>141</v>
      </c>
      <c r="B61">
        <v>119</v>
      </c>
      <c r="C61">
        <v>167</v>
      </c>
      <c r="D61">
        <v>21</v>
      </c>
      <c r="E61" s="4">
        <f>IF($D61=0, "-",B61/$D61)</f>
        <v>5.666666666666667</v>
      </c>
      <c r="F61" s="4">
        <f>IF($D61=0, "-",C61/$D61)</f>
        <v>7.9523809523809526</v>
      </c>
      <c r="G61" s="11">
        <f>IF(E61="-", "-", E61+F61-13)</f>
        <v>0.6190476190476204</v>
      </c>
    </row>
    <row r="62" spans="1:7" x14ac:dyDescent="0.55000000000000004">
      <c r="A62" t="s">
        <v>142</v>
      </c>
      <c r="B62">
        <v>262</v>
      </c>
      <c r="C62">
        <v>247</v>
      </c>
      <c r="D62">
        <v>38</v>
      </c>
      <c r="E62" s="4">
        <f>IF($D62=0, "-",B62/$D62)</f>
        <v>6.8947368421052628</v>
      </c>
      <c r="F62" s="4">
        <f>IF($D62=0, "-",C62/$D62)</f>
        <v>6.5</v>
      </c>
      <c r="G62" s="11">
        <f>IF(E62="-", "-", E62+F62-13)</f>
        <v>0.39473684210526372</v>
      </c>
    </row>
    <row r="63" spans="1:7" x14ac:dyDescent="0.55000000000000004">
      <c r="A63" t="s">
        <v>143</v>
      </c>
      <c r="B63">
        <v>295</v>
      </c>
      <c r="C63">
        <v>193</v>
      </c>
      <c r="D63">
        <v>37</v>
      </c>
      <c r="E63" s="4">
        <f>IF($D63=0, "-",B63/$D63)</f>
        <v>7.9729729729729728</v>
      </c>
      <c r="F63" s="4">
        <f>IF($D63=0, "-",C63/$D63)</f>
        <v>5.2162162162162158</v>
      </c>
      <c r="G63" s="11">
        <f>IF(E63="-", "-", E63+F63-13)</f>
        <v>0.18918918918918948</v>
      </c>
    </row>
    <row r="64" spans="1:7" x14ac:dyDescent="0.55000000000000004">
      <c r="A64" t="s">
        <v>144</v>
      </c>
      <c r="B64">
        <v>470</v>
      </c>
      <c r="C64">
        <v>330</v>
      </c>
      <c r="D64">
        <v>61</v>
      </c>
      <c r="E64" s="4">
        <f>IF($D64=0, "-",B64/$D64)</f>
        <v>7.7049180327868854</v>
      </c>
      <c r="F64" s="4">
        <f>IF($D64=0, "-",C64/$D64)</f>
        <v>5.4098360655737707</v>
      </c>
      <c r="G64" s="11">
        <f>IF(E64="-", "-", E64+F64-13)</f>
        <v>0.11475409836065609</v>
      </c>
    </row>
    <row r="65" spans="1:7" x14ac:dyDescent="0.55000000000000004">
      <c r="A65" t="s">
        <v>145</v>
      </c>
      <c r="B65">
        <v>138</v>
      </c>
      <c r="C65">
        <v>140</v>
      </c>
      <c r="D65">
        <v>21</v>
      </c>
      <c r="E65" s="4">
        <f>IF($D65=0, "-",B65/$D65)</f>
        <v>6.5714285714285712</v>
      </c>
      <c r="F65" s="4">
        <f>IF($D65=0, "-",C65/$D65)</f>
        <v>6.666666666666667</v>
      </c>
      <c r="G65" s="11">
        <f>IF(E65="-", "-", E65+F65-13)</f>
        <v>0.23809523809523725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114300</xdr:colOff>
                <xdr:row>3</xdr:row>
                <xdr:rowOff>177800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autoPict="0" r:id="rId7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114300</xdr:colOff>
                <xdr:row>6</xdr:row>
                <xdr:rowOff>190500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2022-10-30T11:35:19Z</dcterms:modified>
</cp:coreProperties>
</file>