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ADE02601-8C31-435A-A4BD-D9FA3E2279AE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DataInput" sheetId="1" r:id="rId1"/>
    <sheet name="Display" sheetId="3" r:id="rId2"/>
    <sheet name="Data" sheetId="2" r:id="rId3"/>
    <sheet name="MasterData" sheetId="4" r:id="rId4"/>
  </sheets>
  <definedNames>
    <definedName name="_xlnm._FilterDatabase" localSheetId="2" hidden="1">Data!$A$1:$F$71</definedName>
    <definedName name="_xlnm._FilterDatabase" localSheetId="1" hidden="1">Display!$B$3:$D$12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59" i="2"/>
  <c r="G53" i="2"/>
  <c r="G62" i="2"/>
  <c r="G14" i="2"/>
  <c r="G9" i="2"/>
  <c r="G26" i="2"/>
  <c r="G56" i="2"/>
  <c r="G55" i="2"/>
  <c r="G15" i="2"/>
  <c r="G63" i="2"/>
  <c r="G58" i="2"/>
  <c r="G54" i="2"/>
  <c r="G23" i="2"/>
  <c r="G34" i="2"/>
  <c r="G65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<sst xmlns="http://schemas.openxmlformats.org/spreadsheetml/2006/main" count="291" uniqueCount="164">
  <si>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</si>
  <si>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</si>
  <si>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</si>
  <si>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</si>
  <si>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</si>
  <si>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</si>
  <si>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</si>
  <si>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</si>
  <si>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</si>
  <si>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</si>
  <si>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</si>
  <si>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</si>
  <si>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</si>
  <si>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</si>
  <si>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</si>
  <si>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</si>
  <si>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</si>
  <si>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</si>
  <si>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</si>
  <si>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</si>
  <si>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</si>
  <si>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</si>
  <si>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</si>
  <si>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</si>
  <si>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</si>
  <si>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</si>
  <si>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</si>
  <si>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</si>
  <si>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</si>
  <si>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</si>
  <si>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</si>
  <si>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</si>
  <si>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</si>
  <si>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</si>
  <si>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</si>
  <si>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</si>
  <si>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</si>
  <si>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</si>
  <si>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</si>
  <si>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</si>
  <si>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</si>
  <si>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</si>
  <si>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</si>
  <si>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</si>
  <si>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</si>
  <si>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</si>
  <si>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</si>
  <si>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</si>
  <si>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</si>
  <si>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</si>
  <si>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</si>
  <si>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</si>
  <si>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</si>
  <si>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</si>
  <si>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</si>
  <si>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</si>
  <si>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</si>
  <si>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</si>
  <si>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</si>
  <si>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</si>
  <si>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</si>
  <si>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</si>
  <si>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</si>
  <si>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</si>
  <si>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</si>
  <si>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</si>
  <si>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</si>
  <si>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</si>
  <si>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</si>
  <si>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</si>
  <si>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</si>
  <si>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</si>
  <si>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</si>
  <si>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</si>
  <si>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</si>
  <si>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</si>
  <si>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</si>
  <si>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</si>
  <si>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</si>
  <si>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</si>
  <si>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</si>
  <si>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</si>
  <si>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</si>
  <si>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</si>
  <si>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</si>
  <si>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</si>
  <si>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</si>
  <si>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</si>
  <si>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</si>
  <si>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</si>
  <si>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</si>
  <si>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</si>
  <si>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</si>
  <si>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</si>
  <si>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</si>
  <si>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</si>
  <si>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</si>
  <si>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</si>
  <si>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</si>
  <si>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</si>
  <si>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</si>
  <si>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</si>
  <si>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</si>
  <si>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</si>
  <si>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</si>
  <si>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</si>
  <si>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</si>
  <si>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</si>
  <si>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</si>
  <si>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</si>
  <si>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</si>
  <si>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</si>
  <si>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</si>
  <si>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</si>
  <si>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</si>
  <si>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</si>
  <si>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</si>
  <si>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</si>
  <si>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</si>
  <si>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</si>
  <si>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</si>
  <si>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https://gb.hlorenzi.com/table?referrer=https%3A%2F%2Fwww.mariokartcentral.com%2F</t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</si>
  <si>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</si>
  <si>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</si>
  <si>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</si>
  <si>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</si>
  <si>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</si>
  <si>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</si>
  <si>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</si>
  <si>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</si>
  <si>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</si>
  <si>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</si>
  <si>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</si>
  <si>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</si>
  <si>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</si>
  <si>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</si>
  <si>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</si>
  <si>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</si>
  <si>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</si>
  <si>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</si>
  <si>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</si>
  <si>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</si>
  <si>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</si>
  <si>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</si>
  <si>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</si>
  <si>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</si>
  <si>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</si>
  <si>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Result Table Url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</si>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</sst>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rgb="FFDCDDDE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7" fillId="0" borderId="0" xfId="0" applyFont="1">
      <alignment vertical="center"/>
    </xf>
    <xf numFmtId="0" fontId="7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0" fontId="7" fillId="4" borderId="2" xfId="0" applyFont="1" applyFill="1" applyBorder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76" fontId="7" fillId="4" borderId="0" xfId="0" applyNumberFormat="1" applyFont="1" applyFill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1" xfId="0" applyFont="1" applyFill="1" applyBorder="1" applyAlignment="1">
      <alignment horizontal="right" vertical="center"/>
    </xf>
    <xf numFmtId="176" fontId="7" fillId="4" borderId="1" xfId="0" applyNumberFormat="1" applyFont="1" applyFill="1" applyBorder="1">
      <alignment vertical="center"/>
    </xf>
    <xf numFmtId="177" fontId="7" fillId="4" borderId="0" xfId="0" applyNumberFormat="1" applyFont="1" applyFill="1">
      <alignment vertical="center"/>
    </xf>
    <xf numFmtId="177" fontId="7" fillId="4" borderId="1" xfId="0" applyNumberFormat="1" applyFont="1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178" fontId="0" fillId="0" borderId="0" xfId="0" applyNumberFormat="1" applyAlignment="1">
      <alignment horizontal="center" vertical="center"/>
    </xf>
    <xf numFmtId="178" fontId="7" fillId="0" borderId="0" xfId="0" applyNumberFormat="1" applyFont="1">
      <alignment vertical="center"/>
    </xf>
    <xf numFmtId="178" fontId="7" fillId="4" borderId="0" xfId="0" applyNumberFormat="1" applyFont="1" applyFill="1">
      <alignment vertical="center"/>
    </xf>
    <xf numFmtId="178" fontId="7" fillId="4" borderId="1" xfId="0" applyNumberFormat="1" applyFont="1" applyFill="1" applyBorder="1">
      <alignment vertical="center"/>
    </xf>
    <xf numFmtId="0" fontId="7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14" xfId="0" applyFont="1" applyBorder="1" applyAlignment="1">
      <alignment horizontal="center" vertical="center"/>
    </xf>
    <xf numFmtId="0" fontId="6" fillId="0" borderId="11" xfId="1" applyBorder="1" applyAlignment="1">
      <alignment horizontal="center" vertical="center" shrinkToFit="1"/>
    </xf>
    <xf numFmtId="0" fontId="2" fillId="0" borderId="11" xfId="0" applyFont="1" applyBorder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0" fillId="0" borderId="2" xfId="0" applyBorder="1">
      <alignment vertical="center"/>
    </xf>
    <xf numFmtId="0" fontId="2" fillId="0" borderId="2" xfId="0" applyFont="1" applyBorder="1">
      <alignment vertical="center"/>
    </xf>
    <xf numFmtId="0" fontId="0" fillId="0" borderId="15" xfId="0" applyBorder="1">
      <alignment vertical="center"/>
    </xf>
    <xf numFmtId="0" fontId="2" fillId="0" borderId="7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6" xfId="0" applyFont="1" applyBorder="1" applyAlignment="1">
      <alignment horizontal="right" vertical="center"/>
    </xf>
    <xf numFmtId="0" fontId="10" fillId="0" borderId="2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10" fillId="0" borderId="1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" fillId="0" borderId="16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 shrinkToFit="1"/>
    </xf>
    <xf numFmtId="0" fontId="8" fillId="0" borderId="11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b.hlorenzi.com/table?referrer=https%3A%2F%2Fwww.mariokartcentral.com%2F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I27"/>
  <sheetViews>
    <sheetView showGridLines="0" tabSelected="1" zoomScaleNormal="100" workbookViewId="0">
      <selection activeCell="B19" sqref="B19"/>
    </sheetView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42.6640625" customWidth="1"/>
    <col min="8" max="8" width="8.6640625" customWidth="1"/>
    <col min="9" max="9" width="8.6640625" hidden="1" customWidth="1"/>
  </cols>
  <sheetData>
    <row r="1" spans="1:9" ht="7.5" customHeight="1" x14ac:dyDescent="0.55000000000000004">
      <c r="A1" s="7"/>
      <c r="B1" s="8"/>
      <c r="C1" s="8"/>
      <c r="D1" s="9"/>
      <c r="E1" s="9"/>
      <c r="F1" s="49"/>
      <c r="G1" s="43"/>
    </row>
    <row r="2" spans="1:9" ht="20.5" thickBot="1" x14ac:dyDescent="0.6">
      <c r="A2" s="10"/>
      <c r="B2" s="2" t="s">
        <v>112</v>
      </c>
      <c r="C2" s="64" t="s">
        <v>120</v>
      </c>
      <c r="F2" s="49"/>
      <c r="G2" s="44" t="s">
        <v>147</v>
      </c>
    </row>
    <row r="3" spans="1:9" s="3" customFormat="1" ht="20" x14ac:dyDescent="0.55000000000000004">
      <c r="A3" s="61">
        <v>1</v>
      </c>
      <c r="B3" s="62" t="s">
        <v>112</v>
      </c>
      <c r="C3" s="65"/>
      <c r="E3" s="71" t="s">
        <v>161</v>
      </c>
      <c r="F3" s="50"/>
      <c r="G3" s="45" t="s">
        <v>121</v>
      </c>
      <c r="I3" s="3">
        <f>IF(C3="", 0,IF(C3=1,15,IF(C3=2,12,13-C3)))</f>
        <v>0</v>
      </c>
    </row>
    <row r="4" spans="1:9" s="3" customFormat="1" ht="20" x14ac:dyDescent="0.55000000000000004">
      <c r="A4" s="63">
        <v>2</v>
      </c>
      <c r="B4" s="73" t="s">
        <v>112</v>
      </c>
      <c r="C4" s="66"/>
      <c r="E4" s="71"/>
      <c r="F4" s="50"/>
      <c r="G4" s="46"/>
      <c r="I4" s="3">
        <f t="shared" ref="I4:I12" si="0">IF(C4="", 0,IF(C4=1,15,IF(C4=2,12,13-C4)))</f>
        <v>0</v>
      </c>
    </row>
    <row r="5" spans="1:9" s="3" customFormat="1" ht="20.5" thickBot="1" x14ac:dyDescent="0.6">
      <c r="A5" s="63">
        <v>3</v>
      </c>
      <c r="B5" s="73" t="s">
        <v>112</v>
      </c>
      <c r="C5" s="67"/>
      <c r="E5" s="71"/>
      <c r="F5" s="50"/>
      <c r="G5" s="44" t="s">
        <v>163</v>
      </c>
      <c r="I5" s="3">
        <f t="shared" si="0"/>
        <v>0</v>
      </c>
    </row>
    <row r="6" spans="1:9" s="3" customFormat="1" ht="20" x14ac:dyDescent="0.55000000000000004">
      <c r="A6" s="63">
        <v>4</v>
      </c>
      <c r="B6" s="73" t="s">
        <v>112</v>
      </c>
      <c r="C6" s="68"/>
      <c r="E6" s="71"/>
      <c r="F6" s="50"/>
      <c r="G6" s="74"/>
      <c r="I6" s="3">
        <f t="shared" si="0"/>
        <v>0</v>
      </c>
    </row>
    <row r="7" spans="1:9" s="3" customFormat="1" ht="20" x14ac:dyDescent="0.55000000000000004">
      <c r="A7" s="63">
        <v>5</v>
      </c>
      <c r="B7" s="73" t="s">
        <v>112</v>
      </c>
      <c r="C7" s="68"/>
      <c r="E7" s="71"/>
      <c r="F7" s="50"/>
      <c r="G7" s="75"/>
      <c r="I7" s="3">
        <f t="shared" si="0"/>
        <v>0</v>
      </c>
    </row>
    <row r="8" spans="1:9" s="3" customFormat="1" ht="20" x14ac:dyDescent="0.55000000000000004">
      <c r="A8" s="63">
        <v>6</v>
      </c>
      <c r="B8" s="73" t="s">
        <v>112</v>
      </c>
      <c r="C8" s="68"/>
      <c r="E8" s="71"/>
      <c r="F8" s="50"/>
      <c r="G8" s="75"/>
      <c r="I8" s="3">
        <f t="shared" si="0"/>
        <v>0</v>
      </c>
    </row>
    <row r="9" spans="1:9" s="3" customFormat="1" ht="20" x14ac:dyDescent="0.55000000000000004">
      <c r="A9" s="63">
        <v>7</v>
      </c>
      <c r="B9" s="73" t="s">
        <v>112</v>
      </c>
      <c r="C9" s="66"/>
      <c r="E9" s="71"/>
      <c r="F9" s="50"/>
      <c r="G9" s="75"/>
      <c r="I9" s="3">
        <f>IF(C9="", 0,IF(C9=1,15,IF(C9=2,12,13-C9)))</f>
        <v>0</v>
      </c>
    </row>
    <row r="10" spans="1:9" s="3" customFormat="1" ht="20" x14ac:dyDescent="0.55000000000000004">
      <c r="A10" s="63">
        <v>8</v>
      </c>
      <c r="B10" s="73" t="s">
        <v>112</v>
      </c>
      <c r="C10" s="67"/>
      <c r="E10" s="71"/>
      <c r="F10" s="50"/>
      <c r="G10" s="75"/>
      <c r="I10" s="3">
        <f>IF(C10="", 0,IF(C10=1,15,IF(C10=2,12,13-C10)))</f>
        <v>0</v>
      </c>
    </row>
    <row r="11" spans="1:9" s="3" customFormat="1" ht="20" x14ac:dyDescent="0.55000000000000004">
      <c r="A11" s="63">
        <v>9</v>
      </c>
      <c r="B11" s="73" t="s">
        <v>112</v>
      </c>
      <c r="C11" s="67"/>
      <c r="E11" s="71"/>
      <c r="F11" s="50"/>
      <c r="G11" s="75"/>
      <c r="I11" s="3">
        <f t="shared" si="0"/>
        <v>0</v>
      </c>
    </row>
    <row r="12" spans="1:9" s="3" customFormat="1" ht="20" x14ac:dyDescent="0.55000000000000004">
      <c r="A12" s="63">
        <v>10</v>
      </c>
      <c r="B12" s="73" t="s">
        <v>112</v>
      </c>
      <c r="C12" s="67"/>
      <c r="F12" s="50"/>
      <c r="G12" s="75"/>
      <c r="I12" s="3">
        <f t="shared" si="0"/>
        <v>0</v>
      </c>
    </row>
    <row r="13" spans="1:9" s="3" customFormat="1" ht="20" x14ac:dyDescent="0.55000000000000004">
      <c r="A13" s="63">
        <v>11</v>
      </c>
      <c r="B13" s="73" t="s">
        <v>112</v>
      </c>
      <c r="C13" s="67"/>
      <c r="F13" s="50"/>
      <c r="G13" s="75"/>
      <c r="I13" s="3">
        <f>IF(C13="", 0,IF(C13=1,15,IF(C13=2,12,13-C13)))</f>
        <v>0</v>
      </c>
    </row>
    <row r="14" spans="1:9" s="3" customFormat="1" ht="20" x14ac:dyDescent="0.55000000000000004">
      <c r="A14" s="52">
        <v>12</v>
      </c>
      <c r="B14" s="72" t="s">
        <v>112</v>
      </c>
      <c r="C14" s="69"/>
      <c r="F14" s="50"/>
      <c r="G14" s="75"/>
      <c r="I14" s="3">
        <f>IF(C14="", 0,IF(C14=1,15,IF(C14=2,12,13-C14)))</f>
        <v>0</v>
      </c>
    </row>
    <row r="15" spans="1:9" x14ac:dyDescent="0.55000000000000004">
      <c r="A15" s="47" t="s">
        <v>157</v>
      </c>
      <c r="B15" s="1" t="s">
        <v>148</v>
      </c>
      <c r="C15" s="70">
        <f>SUM(I3:I14)</f>
        <v>0</v>
      </c>
      <c r="F15" s="49"/>
      <c r="G15" s="75"/>
    </row>
    <row r="16" spans="1:9" ht="9" customHeight="1" thickBot="1" x14ac:dyDescent="0.6">
      <c r="A16" s="26"/>
      <c r="C16" s="29"/>
      <c r="E16" s="26"/>
      <c r="F16" s="51"/>
      <c r="G16" s="42"/>
    </row>
    <row r="17" spans="1:7" ht="7.5" customHeight="1" thickTop="1" x14ac:dyDescent="0.55000000000000004">
      <c r="B17" s="27"/>
      <c r="D17" s="30"/>
      <c r="F17" s="30"/>
      <c r="G17" s="28"/>
    </row>
    <row r="18" spans="1:7" ht="15.5" customHeight="1" x14ac:dyDescent="0.55000000000000004">
      <c r="A18" s="76" t="s">
        <v>162</v>
      </c>
      <c r="B18" s="76"/>
      <c r="C18" s="76"/>
      <c r="G18" s="1"/>
    </row>
    <row r="19" spans="1:7" x14ac:dyDescent="0.55000000000000004">
      <c r="A19" s="55" t="s">
        <v>159</v>
      </c>
      <c r="B19" s="58"/>
      <c r="C19" s="53"/>
    </row>
    <row r="20" spans="1:7" x14ac:dyDescent="0.55000000000000004">
      <c r="A20" s="56"/>
      <c r="B20" s="59"/>
      <c r="C20" s="53"/>
    </row>
    <row r="21" spans="1:7" x14ac:dyDescent="0.55000000000000004">
      <c r="A21" s="56"/>
      <c r="B21" s="59"/>
      <c r="C21" s="53"/>
    </row>
    <row r="22" spans="1:7" x14ac:dyDescent="0.55000000000000004">
      <c r="A22" s="56"/>
      <c r="B22" s="59"/>
      <c r="C22" s="53"/>
    </row>
    <row r="23" spans="1:7" x14ac:dyDescent="0.55000000000000004">
      <c r="A23" s="56"/>
      <c r="B23" s="59"/>
      <c r="C23" s="53"/>
    </row>
    <row r="24" spans="1:7" x14ac:dyDescent="0.55000000000000004">
      <c r="A24" s="56"/>
      <c r="B24" s="59"/>
      <c r="C24" s="53"/>
    </row>
    <row r="25" spans="1:7" x14ac:dyDescent="0.55000000000000004">
      <c r="A25" s="56"/>
      <c r="B25" s="59"/>
      <c r="C25" s="53"/>
    </row>
    <row r="26" spans="1:7" x14ac:dyDescent="0.55000000000000004">
      <c r="A26" s="56"/>
      <c r="B26" s="59"/>
      <c r="C26" s="53"/>
    </row>
    <row r="27" spans="1:7" x14ac:dyDescent="0.55000000000000004">
      <c r="A27" s="57" t="s">
        <v>160</v>
      </c>
      <c r="B27" s="60"/>
      <c r="C27" s="54"/>
    </row>
  </sheetData>
  <mergeCells count="2">
    <mergeCell ref="G6:G15"/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hyperlinks>
    <hyperlink ref="G3" r:id="rId1" xr:uid="{CA293DE6-FA8F-42FD-9BCE-14A6F05F0AF2}"/>
  </hyperlinks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27" r:id="rId5" name="CommandButton1">
          <controlPr defaultSize="0" autoLine="0" r:id="rId6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5" name="CommandButton1"/>
      </mc:Fallback>
    </mc:AlternateContent>
    <mc:AlternateContent xmlns:mc="http://schemas.openxmlformats.org/markup-compatibility/2006">
      <mc:Choice Requires="x14">
        <control shapeId="1029" r:id="rId7" name="CommandButton2">
          <controlPr defaultSize="0" autoLine="0" r:id="rId8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7" name="CommandButton2"/>
      </mc:Fallback>
    </mc:AlternateContent>
    <mc:AlternateContent xmlns:mc="http://schemas.openxmlformats.org/markup-compatibility/2006">
      <mc:Choice Requires="x14">
        <control shapeId="1030" r:id="rId9" name="CommandButton3">
          <controlPr defaultSize="0" autoLine="0" r:id="rId10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77" t="s">
        <v>133</v>
      </c>
      <c r="C2" s="77"/>
      <c r="D2" s="78"/>
      <c r="F2" s="85" t="s">
        <v>135</v>
      </c>
      <c r="G2" s="85"/>
      <c r="H2" s="85"/>
      <c r="I2" s="15"/>
      <c r="J2" s="83" t="s">
        <v>158</v>
      </c>
      <c r="K2" s="83"/>
      <c r="L2" s="84"/>
      <c r="N2" s="48"/>
      <c r="O2" s="48"/>
    </row>
    <row r="3" spans="2:15" s="11" customFormat="1" ht="20" x14ac:dyDescent="0.55000000000000004">
      <c r="B3" s="37" t="s">
        <v>123</v>
      </c>
      <c r="C3" s="36"/>
      <c r="D3" s="38"/>
      <c r="F3" s="39" t="s">
        <v>123</v>
      </c>
      <c r="G3" s="36"/>
      <c r="H3" s="40"/>
      <c r="I3" s="13"/>
      <c r="J3" s="39" t="s">
        <v>123</v>
      </c>
      <c r="K3" s="36"/>
      <c r="L3" s="41"/>
      <c r="N3" s="35"/>
      <c r="O3" s="35"/>
    </row>
    <row r="4" spans="2:15" s="11" customFormat="1" ht="20" x14ac:dyDescent="0.55000000000000004">
      <c r="B4" s="18" t="s">
        <v>124</v>
      </c>
      <c r="C4" s="19"/>
      <c r="D4" s="20"/>
      <c r="F4" s="18" t="s">
        <v>124</v>
      </c>
      <c r="G4" s="19"/>
      <c r="H4" s="24"/>
      <c r="I4" s="14"/>
      <c r="J4" s="18" t="s">
        <v>124</v>
      </c>
      <c r="K4" s="19"/>
      <c r="L4" s="33"/>
      <c r="M4" s="35"/>
      <c r="N4" s="35"/>
      <c r="O4" s="35"/>
    </row>
    <row r="5" spans="2:15" s="11" customFormat="1" ht="20" x14ac:dyDescent="0.55000000000000004">
      <c r="B5" s="12" t="s">
        <v>125</v>
      </c>
      <c r="C5" s="14"/>
      <c r="D5" s="16"/>
      <c r="F5" s="12" t="s">
        <v>125</v>
      </c>
      <c r="G5" s="14"/>
      <c r="H5" s="17"/>
      <c r="I5" s="14"/>
      <c r="J5" s="12" t="s">
        <v>125</v>
      </c>
      <c r="K5" s="14"/>
      <c r="L5" s="32"/>
    </row>
    <row r="6" spans="2:15" s="11" customFormat="1" ht="20" x14ac:dyDescent="0.55000000000000004">
      <c r="B6" s="18" t="s">
        <v>126</v>
      </c>
      <c r="C6" s="19"/>
      <c r="D6" s="20"/>
      <c r="F6" s="18" t="s">
        <v>126</v>
      </c>
      <c r="G6" s="19"/>
      <c r="H6" s="24"/>
      <c r="I6" s="14"/>
      <c r="J6" s="18" t="s">
        <v>126</v>
      </c>
      <c r="K6" s="19"/>
      <c r="L6" s="33"/>
    </row>
    <row r="7" spans="2:15" s="11" customFormat="1" ht="20" x14ac:dyDescent="0.55000000000000004">
      <c r="B7" s="12" t="s">
        <v>127</v>
      </c>
      <c r="C7" s="14"/>
      <c r="D7" s="16"/>
      <c r="F7" s="12" t="s">
        <v>127</v>
      </c>
      <c r="G7" s="14"/>
      <c r="H7" s="17"/>
      <c r="I7" s="14"/>
      <c r="J7" s="12" t="s">
        <v>127</v>
      </c>
      <c r="K7" s="14"/>
      <c r="L7" s="32"/>
    </row>
    <row r="8" spans="2:15" s="11" customFormat="1" ht="20" x14ac:dyDescent="0.55000000000000004">
      <c r="B8" s="18" t="s">
        <v>128</v>
      </c>
      <c r="C8" s="19"/>
      <c r="D8" s="20"/>
      <c r="F8" s="18" t="s">
        <v>128</v>
      </c>
      <c r="G8" s="19"/>
      <c r="H8" s="24"/>
      <c r="I8" s="14"/>
      <c r="J8" s="18" t="s">
        <v>128</v>
      </c>
      <c r="K8" s="19"/>
      <c r="L8" s="33"/>
    </row>
    <row r="9" spans="2:15" s="11" customFormat="1" ht="20" x14ac:dyDescent="0.55000000000000004">
      <c r="B9" s="12" t="s">
        <v>129</v>
      </c>
      <c r="C9" s="14"/>
      <c r="D9" s="16"/>
      <c r="F9" s="12" t="s">
        <v>129</v>
      </c>
      <c r="G9" s="14"/>
      <c r="H9" s="17"/>
      <c r="I9" s="14"/>
      <c r="J9" s="12" t="s">
        <v>129</v>
      </c>
      <c r="K9" s="14"/>
      <c r="L9" s="32"/>
    </row>
    <row r="10" spans="2:15" s="11" customFormat="1" ht="20" x14ac:dyDescent="0.55000000000000004">
      <c r="B10" s="18" t="s">
        <v>130</v>
      </c>
      <c r="C10" s="19"/>
      <c r="D10" s="20"/>
      <c r="F10" s="18" t="s">
        <v>130</v>
      </c>
      <c r="G10" s="19"/>
      <c r="H10" s="24"/>
      <c r="I10" s="14"/>
      <c r="J10" s="18" t="s">
        <v>130</v>
      </c>
      <c r="K10" s="19"/>
      <c r="L10" s="33"/>
    </row>
    <row r="11" spans="2:15" s="11" customFormat="1" ht="20" x14ac:dyDescent="0.55000000000000004">
      <c r="B11" s="12" t="s">
        <v>131</v>
      </c>
      <c r="C11" s="14"/>
      <c r="D11" s="16"/>
      <c r="F11" s="12" t="s">
        <v>131</v>
      </c>
      <c r="G11" s="14"/>
      <c r="H11" s="17"/>
      <c r="I11" s="14"/>
      <c r="J11" s="12" t="s">
        <v>131</v>
      </c>
      <c r="K11" s="14"/>
      <c r="L11" s="32"/>
    </row>
    <row r="12" spans="2:15" s="11" customFormat="1" ht="20" x14ac:dyDescent="0.55000000000000004">
      <c r="B12" s="21" t="s">
        <v>132</v>
      </c>
      <c r="C12" s="22"/>
      <c r="D12" s="23"/>
      <c r="F12" s="21" t="s">
        <v>132</v>
      </c>
      <c r="G12" s="22"/>
      <c r="H12" s="25"/>
      <c r="I12" s="14"/>
      <c r="J12" s="21" t="s">
        <v>132</v>
      </c>
      <c r="K12" s="22"/>
      <c r="L12" s="34"/>
    </row>
    <row r="14" spans="2:15" ht="20" x14ac:dyDescent="0.55000000000000004">
      <c r="B14" s="79" t="s">
        <v>134</v>
      </c>
      <c r="C14" s="79"/>
      <c r="D14" s="80"/>
      <c r="F14" s="81" t="s">
        <v>136</v>
      </c>
      <c r="G14" s="81"/>
      <c r="H14" s="82"/>
      <c r="I14" s="15"/>
      <c r="J14" s="86" t="s">
        <v>138</v>
      </c>
      <c r="K14" s="86"/>
      <c r="L14" s="87"/>
    </row>
    <row r="15" spans="2:15" ht="20" x14ac:dyDescent="0.55000000000000004">
      <c r="B15" s="37" t="s">
        <v>123</v>
      </c>
      <c r="C15" s="36"/>
      <c r="D15" s="38"/>
      <c r="F15" s="37" t="s">
        <v>123</v>
      </c>
      <c r="G15" s="36"/>
      <c r="H15" s="40"/>
      <c r="I15" s="13"/>
      <c r="J15" s="39" t="s">
        <v>123</v>
      </c>
      <c r="K15" s="36"/>
      <c r="L15" s="41"/>
    </row>
    <row r="16" spans="2:15" ht="20" x14ac:dyDescent="0.55000000000000004">
      <c r="B16" s="18" t="s">
        <v>124</v>
      </c>
      <c r="C16" s="19"/>
      <c r="D16" s="20"/>
      <c r="F16" s="18" t="s">
        <v>124</v>
      </c>
      <c r="G16" s="19"/>
      <c r="H16" s="24"/>
      <c r="I16" s="14"/>
      <c r="J16" s="18" t="s">
        <v>124</v>
      </c>
      <c r="K16" s="19"/>
      <c r="L16" s="33"/>
    </row>
    <row r="17" spans="2:12" ht="20" x14ac:dyDescent="0.55000000000000004">
      <c r="B17" s="12" t="s">
        <v>125</v>
      </c>
      <c r="C17" s="14"/>
      <c r="D17" s="16"/>
      <c r="F17" s="12" t="s">
        <v>125</v>
      </c>
      <c r="G17" s="14"/>
      <c r="H17" s="17"/>
      <c r="I17" s="14"/>
      <c r="J17" s="12" t="s">
        <v>125</v>
      </c>
      <c r="K17" s="14"/>
      <c r="L17" s="32"/>
    </row>
    <row r="18" spans="2:12" ht="20" x14ac:dyDescent="0.55000000000000004">
      <c r="B18" s="18" t="s">
        <v>126</v>
      </c>
      <c r="C18" s="19"/>
      <c r="D18" s="20"/>
      <c r="F18" s="18" t="s">
        <v>126</v>
      </c>
      <c r="G18" s="19"/>
      <c r="H18" s="24"/>
      <c r="I18" s="14"/>
      <c r="J18" s="18" t="s">
        <v>126</v>
      </c>
      <c r="K18" s="19"/>
      <c r="L18" s="33"/>
    </row>
    <row r="19" spans="2:12" ht="20" x14ac:dyDescent="0.55000000000000004">
      <c r="B19" s="12" t="s">
        <v>127</v>
      </c>
      <c r="C19" s="14"/>
      <c r="D19" s="16"/>
      <c r="F19" s="12" t="s">
        <v>127</v>
      </c>
      <c r="G19" s="14"/>
      <c r="H19" s="17"/>
      <c r="I19" s="14"/>
      <c r="J19" s="12" t="s">
        <v>127</v>
      </c>
      <c r="K19" s="14"/>
      <c r="L19" s="32"/>
    </row>
    <row r="20" spans="2:12" ht="20" x14ac:dyDescent="0.55000000000000004">
      <c r="B20" s="18" t="s">
        <v>128</v>
      </c>
      <c r="C20" s="19"/>
      <c r="D20" s="20"/>
      <c r="F20" s="18" t="s">
        <v>128</v>
      </c>
      <c r="G20" s="19"/>
      <c r="H20" s="24"/>
      <c r="I20" s="14"/>
      <c r="J20" s="18" t="s">
        <v>128</v>
      </c>
      <c r="K20" s="19"/>
      <c r="L20" s="33"/>
    </row>
    <row r="21" spans="2:12" ht="20" x14ac:dyDescent="0.55000000000000004">
      <c r="B21" s="12" t="s">
        <v>129</v>
      </c>
      <c r="C21" s="14"/>
      <c r="D21" s="16"/>
      <c r="F21" s="12" t="s">
        <v>129</v>
      </c>
      <c r="G21" s="14"/>
      <c r="H21" s="17"/>
      <c r="I21" s="14"/>
      <c r="J21" s="12" t="s">
        <v>129</v>
      </c>
      <c r="K21" s="14"/>
      <c r="L21" s="32"/>
    </row>
    <row r="22" spans="2:12" ht="20" x14ac:dyDescent="0.55000000000000004">
      <c r="B22" s="18" t="s">
        <v>130</v>
      </c>
      <c r="C22" s="19"/>
      <c r="D22" s="20"/>
      <c r="F22" s="18" t="s">
        <v>130</v>
      </c>
      <c r="G22" s="19"/>
      <c r="H22" s="24"/>
      <c r="I22" s="14"/>
      <c r="J22" s="18" t="s">
        <v>130</v>
      </c>
      <c r="K22" s="19"/>
      <c r="L22" s="33"/>
    </row>
    <row r="23" spans="2:12" ht="20" x14ac:dyDescent="0.55000000000000004">
      <c r="B23" s="12" t="s">
        <v>131</v>
      </c>
      <c r="C23" s="14"/>
      <c r="D23" s="16"/>
      <c r="F23" s="12" t="s">
        <v>131</v>
      </c>
      <c r="G23" s="14"/>
      <c r="H23" s="17"/>
      <c r="I23" s="14"/>
      <c r="J23" s="12" t="s">
        <v>131</v>
      </c>
      <c r="K23" s="14"/>
      <c r="L23" s="32"/>
    </row>
    <row r="24" spans="2:12" ht="20" x14ac:dyDescent="0.55000000000000004">
      <c r="B24" s="21" t="s">
        <v>132</v>
      </c>
      <c r="C24" s="22"/>
      <c r="D24" s="23"/>
      <c r="F24" s="21" t="s">
        <v>132</v>
      </c>
      <c r="G24" s="22"/>
      <c r="H24" s="25"/>
      <c r="I24" s="14"/>
      <c r="J24" s="21" t="s">
        <v>132</v>
      </c>
      <c r="K24" s="22"/>
      <c r="L24" s="34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 activeCell="I56" sqref="I56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137</v>
      </c>
      <c r="H1" t="s">
        <v>122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 t="shared" ref="E2:E33" si="0">IF($D2=0, "-",B2/$D2)</f>
        <v>-</v>
      </c>
      <c r="F2" s="4" t="str">
        <f t="shared" ref="F2:F33" si="1">IF($D2=0, "-",C2/$D2)</f>
        <v>-</v>
      </c>
      <c r="G2" s="31" t="str">
        <f t="shared" ref="G2:G33" si="2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 t="shared" si="0"/>
        <v>-</v>
      </c>
      <c r="F3" s="4" t="str">
        <f t="shared" si="1"/>
        <v>-</v>
      </c>
      <c r="G3" s="31" t="str">
        <f t="shared" si="2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 t="shared" si="0"/>
        <v>-</v>
      </c>
      <c r="F4" s="4" t="str">
        <f t="shared" si="1"/>
        <v>-</v>
      </c>
      <c r="G4" s="31" t="str">
        <f t="shared" si="2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 t="shared" si="0"/>
        <v>-</v>
      </c>
      <c r="F5" s="4" t="str">
        <f t="shared" si="1"/>
        <v>-</v>
      </c>
      <c r="G5" s="31" t="str">
        <f t="shared" si="2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 t="shared" si="0"/>
        <v>-</v>
      </c>
      <c r="F6" s="4" t="str">
        <f t="shared" si="1"/>
        <v>-</v>
      </c>
      <c r="G6" s="31" t="str">
        <f t="shared" si="2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 t="shared" si="0"/>
        <v>-</v>
      </c>
      <c r="F7" s="4" t="str">
        <f t="shared" si="1"/>
        <v>-</v>
      </c>
      <c r="G7" s="31" t="str">
        <f t="shared" si="2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 t="shared" si="0"/>
        <v>-</v>
      </c>
      <c r="F8" s="4" t="str">
        <f t="shared" si="1"/>
        <v>-</v>
      </c>
      <c r="G8" s="31" t="str">
        <f t="shared" si="2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31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31" t="str">
        <f t="shared" si="2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 t="shared" si="0"/>
        <v>-</v>
      </c>
      <c r="F11" s="4" t="str">
        <f t="shared" si="1"/>
        <v>-</v>
      </c>
      <c r="G11" s="31" t="str">
        <f t="shared" si="2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 t="shared" si="0"/>
        <v>-</v>
      </c>
      <c r="F12" s="4" t="str">
        <f t="shared" si="1"/>
        <v>-</v>
      </c>
      <c r="G12" s="31" t="str">
        <f t="shared" si="2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 t="shared" si="0"/>
        <v>-</v>
      </c>
      <c r="F13" s="4" t="str">
        <f t="shared" si="1"/>
        <v>-</v>
      </c>
      <c r="G13" s="31" t="str">
        <f t="shared" si="2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 t="shared" si="0"/>
        <v>-</v>
      </c>
      <c r="F14" s="4" t="str">
        <f t="shared" si="1"/>
        <v>-</v>
      </c>
      <c r="G14" s="31" t="str">
        <f t="shared" si="2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31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31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31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31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31" t="str">
        <f t="shared" si="2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 t="shared" si="0"/>
        <v>-</v>
      </c>
      <c r="F20" s="4" t="str">
        <f t="shared" si="1"/>
        <v>-</v>
      </c>
      <c r="G20" s="31" t="str">
        <f t="shared" si="2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31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31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31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31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31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31" t="str">
        <f t="shared" si="2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 t="shared" si="0"/>
        <v>-</v>
      </c>
      <c r="F27" s="4" t="str">
        <f t="shared" si="1"/>
        <v>-</v>
      </c>
      <c r="G27" s="31" t="str">
        <f t="shared" si="2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 t="shared" si="0"/>
        <v>-</v>
      </c>
      <c r="F28" s="4" t="str">
        <f t="shared" si="1"/>
        <v>-</v>
      </c>
      <c r="G28" s="31" t="str">
        <f t="shared" si="2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 t="shared" si="0"/>
        <v>-</v>
      </c>
      <c r="F29" s="4" t="str">
        <f t="shared" si="1"/>
        <v>-</v>
      </c>
      <c r="G29" s="31" t="str">
        <f t="shared" si="2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31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31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31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31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31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31" t="str">
        <f t="shared" si="5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 t="shared" si="3"/>
        <v>-</v>
      </c>
      <c r="F36" s="4" t="str">
        <f t="shared" si="4"/>
        <v>-</v>
      </c>
      <c r="G36" s="31" t="str">
        <f t="shared" si="5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 t="shared" si="3"/>
        <v>-</v>
      </c>
      <c r="F37" s="4" t="str">
        <f t="shared" si="4"/>
        <v>-</v>
      </c>
      <c r="G37" s="31" t="str">
        <f t="shared" si="5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31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31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31" t="str">
        <f t="shared" si="5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 t="shared" si="3"/>
        <v>-</v>
      </c>
      <c r="F41" s="4" t="str">
        <f t="shared" si="4"/>
        <v>-</v>
      </c>
      <c r="G41" s="31" t="str">
        <f t="shared" si="5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 t="shared" si="3"/>
        <v>-</v>
      </c>
      <c r="F42" s="4" t="str">
        <f t="shared" si="4"/>
        <v>-</v>
      </c>
      <c r="G42" s="31" t="str">
        <f t="shared" si="5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31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31" t="str">
        <f t="shared" si="5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 t="shared" si="3"/>
        <v>-</v>
      </c>
      <c r="F45" s="4" t="str">
        <f t="shared" si="4"/>
        <v>-</v>
      </c>
      <c r="G45" s="31" t="str">
        <f t="shared" si="5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 t="shared" si="3"/>
        <v>-</v>
      </c>
      <c r="F46" s="4" t="str">
        <f t="shared" si="4"/>
        <v>-</v>
      </c>
      <c r="G46" s="31" t="str">
        <f t="shared" si="5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 t="shared" si="3"/>
        <v>-</v>
      </c>
      <c r="F47" s="4" t="str">
        <f t="shared" si="4"/>
        <v>-</v>
      </c>
      <c r="G47" s="31" t="str">
        <f t="shared" si="5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31" t="str">
        <f t="shared" si="5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 t="shared" si="3"/>
        <v>-</v>
      </c>
      <c r="F49" s="4" t="str">
        <f t="shared" si="4"/>
        <v>-</v>
      </c>
      <c r="G49" s="31" t="str">
        <f t="shared" si="5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31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31" t="str">
        <f t="shared" si="5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 t="shared" si="3"/>
        <v>-</v>
      </c>
      <c r="F52" s="4" t="str">
        <f t="shared" si="4"/>
        <v>-</v>
      </c>
      <c r="G52" s="31" t="str">
        <f t="shared" si="5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31" t="str">
        <f t="shared" si="5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 t="shared" si="3"/>
        <v>-</v>
      </c>
      <c r="F54" s="4" t="str">
        <f t="shared" si="4"/>
        <v>-</v>
      </c>
      <c r="G54" s="31" t="str">
        <f t="shared" si="5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 t="shared" si="3"/>
        <v>-</v>
      </c>
      <c r="F55" s="4" t="str">
        <f t="shared" si="4"/>
        <v>-</v>
      </c>
      <c r="G55" s="31" t="str">
        <f t="shared" si="5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31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31" t="str">
        <f t="shared" si="5"/>
        <v>-</v>
      </c>
    </row>
    <row r="58" spans="1:7" x14ac:dyDescent="0.55000000000000004">
      <c r="A58" t="s">
        <v>139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31" t="str">
        <f t="shared" si="5"/>
        <v>-</v>
      </c>
    </row>
    <row r="59" spans="1:7" x14ac:dyDescent="0.55000000000000004">
      <c r="A59" t="s">
        <v>140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31" t="str">
        <f t="shared" si="5"/>
        <v>-</v>
      </c>
    </row>
    <row r="60" spans="1:7" x14ac:dyDescent="0.55000000000000004">
      <c r="A60" t="s">
        <v>141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31" t="str">
        <f t="shared" si="5"/>
        <v>-</v>
      </c>
    </row>
    <row r="61" spans="1:7" x14ac:dyDescent="0.55000000000000004">
      <c r="A61" t="s">
        <v>142</v>
      </c>
      <c r="B61">
        <v>0</v>
      </c>
      <c r="C61">
        <v>0</v>
      </c>
      <c r="D61">
        <v>0</v>
      </c>
      <c r="E61" s="4" t="str">
        <f t="shared" si="3"/>
        <v>-</v>
      </c>
      <c r="F61" s="4" t="str">
        <f t="shared" si="4"/>
        <v>-</v>
      </c>
      <c r="G61" s="31" t="str">
        <f t="shared" si="5"/>
        <v>-</v>
      </c>
    </row>
    <row r="62" spans="1:7" x14ac:dyDescent="0.55000000000000004">
      <c r="A62" t="s">
        <v>143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31" t="str">
        <f t="shared" si="5"/>
        <v>-</v>
      </c>
    </row>
    <row r="63" spans="1:7" x14ac:dyDescent="0.55000000000000004">
      <c r="A63" t="s">
        <v>144</v>
      </c>
      <c r="B63">
        <v>0</v>
      </c>
      <c r="C63">
        <v>0</v>
      </c>
      <c r="D63">
        <v>0</v>
      </c>
      <c r="E63" s="4" t="str">
        <f t="shared" si="3"/>
        <v>-</v>
      </c>
      <c r="F63" s="4" t="str">
        <f t="shared" si="4"/>
        <v>-</v>
      </c>
      <c r="G63" s="31" t="str">
        <f t="shared" si="5"/>
        <v>-</v>
      </c>
    </row>
    <row r="64" spans="1:7" x14ac:dyDescent="0.55000000000000004">
      <c r="A64" t="s">
        <v>145</v>
      </c>
      <c r="B64">
        <v>0</v>
      </c>
      <c r="C64">
        <v>0</v>
      </c>
      <c r="D64">
        <v>0</v>
      </c>
      <c r="E64" s="4" t="str">
        <f t="shared" si="3"/>
        <v>-</v>
      </c>
      <c r="F64" s="4" t="str">
        <f t="shared" si="4"/>
        <v>-</v>
      </c>
      <c r="G64" s="31" t="str">
        <f t="shared" si="5"/>
        <v>-</v>
      </c>
    </row>
    <row r="65" spans="1:7" x14ac:dyDescent="0.55000000000000004">
      <c r="A65" t="s">
        <v>146</v>
      </c>
      <c r="B65">
        <v>0</v>
      </c>
      <c r="C65">
        <v>0</v>
      </c>
      <c r="D65">
        <v>0</v>
      </c>
      <c r="E65" s="4" t="str">
        <f t="shared" si="3"/>
        <v>-</v>
      </c>
      <c r="F65" s="4" t="str">
        <f t="shared" si="4"/>
        <v>-</v>
      </c>
      <c r="G65" s="31" t="str">
        <f t="shared" si="5"/>
        <v>-</v>
      </c>
    </row>
  </sheetData>
  <sortState xmlns:xlrd2="http://schemas.microsoft.com/office/spreadsheetml/2017/richdata2" ref="A2:F71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139</v>
      </c>
      <c r="B58" t="s">
        <v>152</v>
      </c>
    </row>
    <row r="59" spans="1:2" x14ac:dyDescent="0.55000000000000004">
      <c r="A59" t="s">
        <v>140</v>
      </c>
      <c r="B59" t="s">
        <v>150</v>
      </c>
    </row>
    <row r="60" spans="1:2" x14ac:dyDescent="0.55000000000000004">
      <c r="A60" t="s">
        <v>141</v>
      </c>
      <c r="B60" t="s">
        <v>149</v>
      </c>
    </row>
    <row r="61" spans="1:2" x14ac:dyDescent="0.55000000000000004">
      <c r="A61" t="s">
        <v>142</v>
      </c>
      <c r="B61" t="s">
        <v>153</v>
      </c>
    </row>
    <row r="62" spans="1:2" x14ac:dyDescent="0.55000000000000004">
      <c r="A62" t="s">
        <v>143</v>
      </c>
      <c r="B62" t="s">
        <v>154</v>
      </c>
    </row>
    <row r="63" spans="1:2" x14ac:dyDescent="0.55000000000000004">
      <c r="A63" t="s">
        <v>144</v>
      </c>
      <c r="B63" t="s">
        <v>155</v>
      </c>
    </row>
    <row r="64" spans="1:2" x14ac:dyDescent="0.55000000000000004">
      <c r="A64" t="s">
        <v>145</v>
      </c>
      <c r="B64" t="s">
        <v>151</v>
      </c>
    </row>
    <row r="65" spans="1:2" x14ac:dyDescent="0.55000000000000004">
      <c r="A65" t="s">
        <v>146</v>
      </c>
      <c r="B65" t="s">
        <v>156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DataInput</vt:lpstr>
      <vt:lpstr>Display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2022-09-10T09:07:38Z</dcterms:modified>
</cp:coreProperties>
</file>