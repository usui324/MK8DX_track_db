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\"/>
    </mc:Choice>
  </mc:AlternateContent>
  <xr:revisionPtr revIDLastSave="0" documentId="13_ncr:1_{9659DC3B-7B57-4D30-B557-3A5FB9ED491A}" xr6:coauthVersionLast="47" xr6:coauthVersionMax="47" xr10:uidLastSave="{00000000-0000-0000-0000-000000000000}"/>
  <bookViews>
    <workbookView xWindow="0" yWindow="0" windowWidth="8380" windowHeight="10540" xr2:uid="{4A114984-3AD0-403E-88C9-B88E276066BE}"/>
  </bookViews>
  <sheets>
    <sheet name="データ入力" sheetId="1" r:id="rId1"/>
    <sheet name="ランキング" sheetId="3" r:id="rId2"/>
    <sheet name="Data" sheetId="2" r:id="rId3"/>
    <sheet name="MasterData" sheetId="4" r:id="rId4"/>
  </sheets>
  <functionGroups builtInGroupCount="19"/>
  <definedNames>
    <definedName name="_xlnm._FilterDatabase" localSheetId="2" hidden="1">Data!$A$1:$F$94</definedName>
    <definedName name="_xlnm._FilterDatabase" localSheetId="1" hidden="1">ランキング!$B$3:$D$12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4" i="1" l="1"/>
  <c r="H5" i="1"/>
  <c r="H6" i="1"/>
  <c r="H7" i="1"/>
  <c r="H8" i="1"/>
  <c r="H9" i="1"/>
  <c r="H10" i="1"/>
  <c r="H11" i="1"/>
  <c r="H12" i="1"/>
  <c r="H13" i="1"/>
  <c r="H14" i="1"/>
  <c r="H3" i="1"/>
  <c r="E59" i="2"/>
  <c r="F59" i="2"/>
  <c r="E58" i="2"/>
  <c r="F58" i="2"/>
  <c r="E60" i="2"/>
  <c r="F60" i="2"/>
  <c r="E61" i="2"/>
  <c r="F61" i="2"/>
  <c r="E62" i="2"/>
  <c r="F62" i="2"/>
  <c r="E63" i="2"/>
  <c r="F63" i="2"/>
  <c r="E64" i="2"/>
  <c r="F64" i="2"/>
  <c r="E65" i="2"/>
  <c r="F65" i="2"/>
  <c r="F57" i="2"/>
  <c r="E3" i="2"/>
  <c r="F3" i="2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2" i="2"/>
  <c r="E2" i="2"/>
  <c r="C15" i="1" l="1"/>
  <c r="G36" i="2"/>
  <c r="G24" i="2"/>
  <c r="G44" i="2"/>
  <c r="G33" i="2"/>
  <c r="G21" i="2"/>
  <c r="G56" i="2"/>
  <c r="G51" i="2"/>
  <c r="G28" i="2"/>
  <c r="G19" i="2"/>
  <c r="G6" i="2"/>
  <c r="G64" i="2"/>
  <c r="G32" i="2"/>
  <c r="G41" i="2"/>
  <c r="G25" i="2"/>
  <c r="G30" i="2"/>
  <c r="G48" i="2"/>
  <c r="G43" i="2"/>
  <c r="G4" i="2"/>
  <c r="G57" i="2"/>
  <c r="G7" i="2"/>
  <c r="G5" i="2"/>
  <c r="G11" i="2"/>
  <c r="G60" i="2"/>
  <c r="G16" i="2"/>
  <c r="G20" i="2"/>
  <c r="G40" i="2"/>
  <c r="G22" i="2"/>
  <c r="G3" i="2"/>
  <c r="G10" i="2"/>
  <c r="G61" i="2"/>
  <c r="G53" i="2"/>
  <c r="G58" i="2"/>
  <c r="G14" i="2"/>
  <c r="G9" i="2"/>
  <c r="G26" i="2"/>
  <c r="G59" i="2"/>
  <c r="G55" i="2"/>
  <c r="G15" i="2"/>
  <c r="G63" i="2"/>
  <c r="G65" i="2"/>
  <c r="G62" i="2"/>
  <c r="G23" i="2"/>
  <c r="G34" i="2"/>
  <c r="G54" i="2"/>
  <c r="G2" i="2"/>
  <c r="G42" i="2"/>
  <c r="G39" i="2"/>
  <c r="G13" i="2"/>
  <c r="G46" i="2"/>
  <c r="G31" i="2"/>
  <c r="G8" i="2"/>
  <c r="G45" i="2"/>
  <c r="G50" i="2"/>
  <c r="G49" i="2"/>
  <c r="G27" i="2"/>
  <c r="G17" i="2"/>
  <c r="G12" i="2"/>
  <c r="G38" i="2"/>
  <c r="G29" i="2"/>
  <c r="G52" i="2"/>
  <c r="G47" i="2"/>
  <c r="G37" i="2"/>
  <c r="G18" i="2"/>
  <c r="G35" i="2"/>
</calcChain>
</file>

<file path=xl/sharedStrings.xml><?xml version="1.0" encoding="utf-8"?>
<sst xmlns="http://schemas.openxmlformats.org/spreadsheetml/2006/main" count="291" uniqueCount="164">
  <si>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</si>
  <si>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</si>
  <si>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</si>
  <si>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</si>
  <si>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</si>
  <si>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</si>
  <si>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</si>
  <si>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</si>
  <si>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サンシャイン空港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</si>
  <si>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</si>
  <si>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</si>
  <si>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</si>
  <si>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</si>
  <si>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</si>
  <si>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</si>
  <si>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</si>
  <si>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モーモーカントリー</t>
    <phoneticPr fontId="1"/>
  </si>
  <si>
    <t>GBAマリオサーキット</t>
    <phoneticPr fontId="1"/>
  </si>
  <si>
    <t>プクプクビーチ</t>
    <phoneticPr fontId="1"/>
  </si>
  <si>
    <t>キノピオハイウェイ</t>
    <phoneticPr fontId="1"/>
  </si>
  <si>
    <t>カラカラさばく</t>
    <phoneticPr fontId="1"/>
  </si>
  <si>
    <t>ドーナツへいや3</t>
    <phoneticPr fontId="1"/>
  </si>
  <si>
    <t>ピーチサーキット</t>
    <phoneticPr fontId="1"/>
  </si>
  <si>
    <t>DKジャングル</t>
    <phoneticPr fontId="1"/>
  </si>
  <si>
    <t>ワリオスタジアム</t>
    <phoneticPr fontId="1"/>
  </si>
  <si>
    <t>シャーベットランド</t>
    <phoneticPr fontId="1"/>
  </si>
  <si>
    <t>ミュージックパーク</t>
    <phoneticPr fontId="1"/>
  </si>
  <si>
    <t>ヨッシーバレー</t>
    <phoneticPr fontId="1"/>
  </si>
  <si>
    <t>チクタクロック</t>
    <phoneticPr fontId="1"/>
  </si>
  <si>
    <t>パックンスライダー</t>
    <phoneticPr fontId="1"/>
  </si>
  <si>
    <t>グラグラかざん</t>
    <phoneticPr fontId="1"/>
  </si>
  <si>
    <t>64レインボーロード</t>
    <phoneticPr fontId="1"/>
  </si>
  <si>
    <t>ヨッシーサーキット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</si>
  <si>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</si>
  <si>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</si>
  <si>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</si>
  <si>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ベビィパーク</t>
    <phoneticPr fontId="1"/>
  </si>
  <si>
    <t>チーズランド</t>
    <phoneticPr fontId="1"/>
  </si>
  <si>
    <t>ネイチャーロード</t>
    <phoneticPr fontId="1"/>
  </si>
  <si>
    <t>どうぶつの森</t>
    <phoneticPr fontId="1"/>
  </si>
  <si>
    <t>ワリオこうざん</t>
    <phoneticPr fontId="1"/>
  </si>
  <si>
    <t>SFCレインボーロード</t>
    <phoneticPr fontId="1"/>
  </si>
  <si>
    <t>ツルツルツイスター</t>
    <phoneticPr fontId="1"/>
  </si>
  <si>
    <t>ハイラルサーキット</t>
    <phoneticPr fontId="1"/>
  </si>
  <si>
    <t>ネオクッパシティ</t>
  </si>
  <si>
    <t>リボンロード</t>
    <phoneticPr fontId="1"/>
  </si>
  <si>
    <t>リンリンメトロ</t>
    <phoneticPr fontId="1"/>
  </si>
  <si>
    <t>ビッグブルー</t>
    <phoneticPr fontId="1"/>
  </si>
  <si>
    <t>パリプロムナード</t>
    <phoneticPr fontId="1"/>
  </si>
  <si>
    <t>キノピオサーキット</t>
    <phoneticPr fontId="1"/>
  </si>
  <si>
    <t>チョコマウンテン</t>
    <phoneticPr fontId="1"/>
  </si>
  <si>
    <t>ココナッツモール</t>
    <phoneticPr fontId="1"/>
  </si>
  <si>
    <t>トーキョースクランブル</t>
    <phoneticPr fontId="1"/>
  </si>
  <si>
    <t>キノコリッジウェイ</t>
    <phoneticPr fontId="1"/>
  </si>
  <si>
    <t>GBAスカイガーデン</t>
    <phoneticPr fontId="1"/>
  </si>
  <si>
    <t>ニンニンドージョー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</si>
  <si>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</si>
  <si>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</si>
  <si>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</si>
  <si>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</si>
  <si>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</si>
  <si>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</si>
  <si>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</si>
  <si>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</si>
  <si>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</si>
  <si>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</si>
  <si>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</si>
  <si>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</si>
  <si>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</si>
  <si>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</si>
  <si>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</si>
  <si>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</si>
  <si>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</si>
  <si>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</si>
  <si>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</si>
  <si>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</si>
  <si>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</si>
  <si>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</si>
  <si>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</si>
  <si>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</si>
  <si>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</si>
  <si>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</si>
  <si>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</si>
  <si>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</si>
  <si>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</si>
  <si>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</si>
  <si>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</si>
  <si>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</si>
  <si>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</si>
  <si>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</si>
  <si>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</si>
  <si>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</si>
  <si>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</si>
  <si>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</si>
  <si>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</si>
  <si>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</si>
  <si>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</si>
  <si>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</si>
  <si>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</si>
  <si>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</si>
  <si>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</si>
  <si>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</si>
  <si>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</si>
  <si>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</si>
  <si>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</si>
  <si>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</si>
  <si>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</si>
  <si>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</si>
  <si>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</si>
  <si>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</si>
  <si>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</si>
  <si>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</si>
  <si>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コース名</t>
  </si>
  <si>
    <t>コース名</t>
    <rPh sb="3" eb="4">
      <t>メイ</t>
    </rPh>
    <phoneticPr fontId="1"/>
  </si>
  <si>
    <t>コース英略称</t>
    <rPh sb="3" eb="6">
      <t>エイリャクショウ</t>
    </rPh>
    <phoneticPr fontId="1"/>
  </si>
  <si>
    <t>順位合計</t>
    <rPh sb="0" eb="2">
      <t>ジュンイ</t>
    </rPh>
    <rPh sb="2" eb="4">
      <t>ゴウケイ</t>
    </rPh>
    <phoneticPr fontId="1"/>
  </si>
  <si>
    <t>得点合計</t>
    <rPh sb="0" eb="2">
      <t>トクテン</t>
    </rPh>
    <rPh sb="2" eb="4">
      <t>ゴウケイ</t>
    </rPh>
    <phoneticPr fontId="1"/>
  </si>
  <si>
    <t>レース数</t>
    <rPh sb="3" eb="4">
      <t>スウ</t>
    </rPh>
    <phoneticPr fontId="1"/>
  </si>
  <si>
    <t>平均得点</t>
    <rPh sb="0" eb="4">
      <t>ヘイキントクテン</t>
    </rPh>
    <phoneticPr fontId="1"/>
  </si>
  <si>
    <t>平均順位</t>
    <rPh sb="0" eb="4">
      <t>ヘイキンジュンイ</t>
    </rPh>
    <phoneticPr fontId="1"/>
  </si>
  <si>
    <t>順位</t>
    <rPh sb="0" eb="2">
      <t>ジュンイ</t>
    </rPh>
    <phoneticPr fontId="1"/>
  </si>
  <si>
    <t>模擬回数</t>
    <rPh sb="0" eb="2">
      <t>モギ</t>
    </rPh>
    <rPh sb="2" eb="4">
      <t>カイスウ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</si>
  <si>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</si>
  <si>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</si>
  <si>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</si>
  <si>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4位</t>
    <rPh sb="1" eb="2">
      <t>イ</t>
    </rPh>
    <phoneticPr fontId="1"/>
  </si>
  <si>
    <t>5位</t>
    <rPh sb="1" eb="2">
      <t>イ</t>
    </rPh>
    <phoneticPr fontId="1"/>
  </si>
  <si>
    <t>6位</t>
    <rPh sb="1" eb="2">
      <t>イ</t>
    </rPh>
    <phoneticPr fontId="1"/>
  </si>
  <si>
    <t>7位</t>
    <rPh sb="1" eb="2">
      <t>イ</t>
    </rPh>
    <phoneticPr fontId="1"/>
  </si>
  <si>
    <t>8位</t>
    <rPh sb="1" eb="2">
      <t>イ</t>
    </rPh>
    <phoneticPr fontId="1"/>
  </si>
  <si>
    <t>9位</t>
    <rPh sb="1" eb="2">
      <t>イ</t>
    </rPh>
    <phoneticPr fontId="1"/>
  </si>
  <si>
    <t>10位</t>
    <rPh sb="2" eb="3">
      <t>イ</t>
    </rPh>
    <phoneticPr fontId="1"/>
  </si>
  <si>
    <t>人気コースランキング</t>
    <rPh sb="0" eb="2">
      <t>ニンキ</t>
    </rPh>
    <phoneticPr fontId="1"/>
  </si>
  <si>
    <t>不人気コースランキング</t>
    <rPh sb="0" eb="3">
      <t>フニンキ</t>
    </rPh>
    <phoneticPr fontId="1"/>
  </si>
  <si>
    <t>得意コースランキング(平均順位)</t>
    <rPh sb="0" eb="2">
      <t>トクイ</t>
    </rPh>
    <rPh sb="11" eb="15">
      <t>ヘイキンジュンイ</t>
    </rPh>
    <phoneticPr fontId="1"/>
  </si>
  <si>
    <t>苦手コースランキング(平均順位)</t>
    <rPh sb="0" eb="2">
      <t>ニガテ</t>
    </rPh>
    <phoneticPr fontId="1"/>
  </si>
  <si>
    <t>上位期待値</t>
    <rPh sb="0" eb="2">
      <t>ジョウイ</t>
    </rPh>
    <rPh sb="2" eb="4">
      <t>キタイ</t>
    </rPh>
    <rPh sb="4" eb="5">
      <t>チ</t>
    </rPh>
    <phoneticPr fontId="1"/>
  </si>
  <si>
    <t>上位期待値ランキング</t>
    <rPh sb="0" eb="2">
      <t>ジョウイ</t>
    </rPh>
    <rPh sb="2" eb="5">
      <t>キタイチ</t>
    </rPh>
    <phoneticPr fontId="1"/>
  </si>
  <si>
    <t>ニューヨークドリーム</t>
    <phoneticPr fontId="1"/>
  </si>
  <si>
    <t>SFCマリオサーキット3</t>
    <phoneticPr fontId="1"/>
  </si>
  <si>
    <t>64カラカラさばく</t>
    <phoneticPr fontId="1"/>
  </si>
  <si>
    <t>ワルイージピンボール</t>
    <phoneticPr fontId="1"/>
  </si>
  <si>
    <t>シドニーサンシャイン</t>
    <phoneticPr fontId="1"/>
  </si>
  <si>
    <t>スノーランド</t>
    <phoneticPr fontId="1"/>
  </si>
  <si>
    <t>キノコキャニオン</t>
    <phoneticPr fontId="1"/>
  </si>
  <si>
    <t>アイスビルディング</t>
    <phoneticPr fontId="1"/>
  </si>
  <si>
    <t>-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</si>
  <si>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</si>
  <si>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</si>
  <si>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</si>
  <si>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</si>
  <si>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</si>
  <si>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</si>
  <si>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</si>
  <si>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</si>
  <si>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得点</t>
    <rPh sb="0" eb="2">
      <t>トクテン</t>
    </rPh>
    <phoneticPr fontId="1"/>
  </si>
  <si>
    <t>得意コースランキング（平均得点）</t>
    <rPh sb="0" eb="2">
      <t>トクイ</t>
    </rPh>
    <rPh sb="11" eb="15">
      <t>ヘイキントクテン</t>
    </rPh>
    <phoneticPr fontId="1"/>
  </si>
  <si>
    <t>1,2位</t>
    <rPh sb="3" eb="4">
      <t>イ</t>
    </rPh>
    <phoneticPr fontId="1"/>
  </si>
  <si>
    <t>9~12位</t>
    <rPh sb="4" eb="5">
      <t>イ</t>
    </rPh>
    <phoneticPr fontId="1"/>
  </si>
  <si>
    <t>-</t>
    <phoneticPr fontId="1"/>
  </si>
  <si>
    <t>コースMEMO</t>
    <phoneticPr fontId="1"/>
  </si>
  <si>
    <t>順位</t>
    <rPh sb="0" eb="2">
      <t>ジュンイ</t>
    </rPh>
    <phoneticPr fontId="1"/>
  </si>
  <si>
    <t>得点</t>
    <rPh sb="0" eb="2">
      <t>トクテン</t>
    </rPh>
    <phoneticPr fontId="1"/>
  </si>
  <si>
    <t>規定レース数</t>
    <rPh sb="0" eb="2">
      <t>キテイ</t>
    </rPh>
    <rPh sb="5" eb="6">
      <t>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</si>
</sst>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&quot;回&quot;"/>
    <numFmt numFmtId="177" formatCode="0.0&quot;位&quot;"/>
    <numFmt numFmtId="178" formatCode="0.00_ "/>
    <numFmt numFmtId="179" formatCode="0_ 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5" xfId="0" applyBorder="1">
      <alignment vertical="center"/>
    </xf>
    <xf numFmtId="0" fontId="5" fillId="0" borderId="2" xfId="0" applyFont="1" applyBorder="1" applyAlignment="1">
      <alignment horizontal="right" vertical="center"/>
    </xf>
    <xf numFmtId="0" fontId="5" fillId="4" borderId="2" xfId="0" applyFont="1" applyFill="1" applyBorder="1" applyAlignment="1">
      <alignment horizontal="right" vertical="center"/>
    </xf>
    <xf numFmtId="0" fontId="5" fillId="4" borderId="3" xfId="0" applyFont="1" applyFill="1" applyBorder="1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3" fillId="0" borderId="6" xfId="0" applyFont="1" applyBorder="1" applyAlignment="1">
      <alignment horizontal="right" vertical="center"/>
    </xf>
    <xf numFmtId="0" fontId="3" fillId="0" borderId="2" xfId="0" applyFont="1" applyBorder="1" applyAlignment="1">
      <alignment horizontal="right" vertical="center"/>
    </xf>
    <xf numFmtId="0" fontId="2" fillId="4" borderId="0" xfId="0" applyFont="1" applyFill="1" applyAlignment="1">
      <alignment horizontal="center" vertical="center"/>
    </xf>
    <xf numFmtId="0" fontId="0" fillId="0" borderId="15" xfId="0" applyBorder="1">
      <alignment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0" fontId="5" fillId="8" borderId="0" xfId="0" applyFont="1" applyFill="1">
      <alignment vertical="center"/>
    </xf>
    <xf numFmtId="0" fontId="0" fillId="8" borderId="0" xfId="0" applyFill="1">
      <alignment vertical="center"/>
    </xf>
    <xf numFmtId="0" fontId="4" fillId="8" borderId="16" xfId="0" applyFont="1" applyFill="1" applyBorder="1" applyAlignment="1">
      <alignment horizontal="center" vertical="center"/>
    </xf>
    <xf numFmtId="0" fontId="3" fillId="0" borderId="0" xfId="0" applyFont="1" applyAlignment="1" applyProtection="1">
      <alignment horizontal="right" vertical="center"/>
      <protection locked="0"/>
    </xf>
    <xf numFmtId="176" fontId="3" fillId="0" borderId="0" xfId="0" applyNumberFormat="1" applyFont="1" applyProtection="1">
      <alignment vertical="center"/>
      <protection locked="0"/>
    </xf>
    <xf numFmtId="0" fontId="5" fillId="4" borderId="0" xfId="0" applyFont="1" applyFill="1" applyAlignment="1" applyProtection="1">
      <alignment horizontal="right" vertical="center"/>
      <protection locked="0"/>
    </xf>
    <xf numFmtId="176" fontId="5" fillId="4" borderId="0" xfId="0" applyNumberFormat="1" applyFont="1" applyFill="1" applyProtection="1">
      <alignment vertical="center"/>
      <protection locked="0"/>
    </xf>
    <xf numFmtId="0" fontId="5" fillId="0" borderId="0" xfId="0" applyFont="1" applyAlignment="1" applyProtection="1">
      <alignment horizontal="right" vertical="center"/>
      <protection locked="0"/>
    </xf>
    <xf numFmtId="176" fontId="5" fillId="0" borderId="0" xfId="0" applyNumberFormat="1" applyFont="1" applyProtection="1">
      <alignment vertical="center"/>
      <protection locked="0"/>
    </xf>
    <xf numFmtId="0" fontId="5" fillId="4" borderId="1" xfId="0" applyFont="1" applyFill="1" applyBorder="1" applyAlignment="1" applyProtection="1">
      <alignment horizontal="right" vertical="center"/>
      <protection locked="0"/>
    </xf>
    <xf numFmtId="176" fontId="5" fillId="4" borderId="1" xfId="0" applyNumberFormat="1" applyFont="1" applyFill="1" applyBorder="1" applyProtection="1">
      <alignment vertical="center"/>
      <protection locked="0"/>
    </xf>
    <xf numFmtId="177" fontId="3" fillId="0" borderId="0" xfId="0" applyNumberFormat="1" applyFont="1" applyProtection="1">
      <alignment vertical="center"/>
      <protection locked="0"/>
    </xf>
    <xf numFmtId="177" fontId="5" fillId="4" borderId="0" xfId="0" applyNumberFormat="1" applyFont="1" applyFill="1" applyProtection="1">
      <alignment vertical="center"/>
      <protection locked="0"/>
    </xf>
    <xf numFmtId="177" fontId="5" fillId="0" borderId="0" xfId="0" applyNumberFormat="1" applyFont="1" applyProtection="1">
      <alignment vertical="center"/>
      <protection locked="0"/>
    </xf>
    <xf numFmtId="177" fontId="5" fillId="4" borderId="1" xfId="0" applyNumberFormat="1" applyFont="1" applyFill="1" applyBorder="1" applyProtection="1">
      <alignment vertical="center"/>
      <protection locked="0"/>
    </xf>
    <xf numFmtId="178" fontId="3" fillId="0" borderId="0" xfId="0" applyNumberFormat="1" applyFont="1" applyProtection="1">
      <alignment vertical="center"/>
      <protection locked="0"/>
    </xf>
    <xf numFmtId="178" fontId="5" fillId="4" borderId="0" xfId="0" applyNumberFormat="1" applyFont="1" applyFill="1" applyProtection="1">
      <alignment vertical="center"/>
      <protection locked="0"/>
    </xf>
    <xf numFmtId="178" fontId="5" fillId="0" borderId="0" xfId="0" applyNumberFormat="1" applyFont="1" applyProtection="1">
      <alignment vertical="center"/>
      <protection locked="0"/>
    </xf>
    <xf numFmtId="178" fontId="5" fillId="4" borderId="1" xfId="0" applyNumberFormat="1" applyFont="1" applyFill="1" applyBorder="1" applyProtection="1">
      <alignment vertical="center"/>
      <protection locked="0"/>
    </xf>
    <xf numFmtId="0" fontId="0" fillId="0" borderId="4" xfId="0" applyBorder="1" applyProtection="1">
      <alignment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7" xfId="0" applyBorder="1" applyProtection="1">
      <alignment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center" vertical="center"/>
      <protection locked="0"/>
    </xf>
    <xf numFmtId="0" fontId="2" fillId="0" borderId="9" xfId="0" applyFont="1" applyBorder="1" applyProtection="1">
      <alignment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Protection="1">
      <alignment vertical="center"/>
      <protection locked="0"/>
    </xf>
    <xf numFmtId="0" fontId="2" fillId="0" borderId="14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12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Alignment="1" applyProtection="1">
      <alignment horizontal="center" vertical="center"/>
      <protection locked="0"/>
    </xf>
    <xf numFmtId="0" fontId="2" fillId="0" borderId="7" xfId="0" applyFont="1" applyBorder="1" applyProtection="1">
      <alignment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0" fontId="7" fillId="0" borderId="6" xfId="0" applyFont="1" applyBorder="1" applyAlignment="1" applyProtection="1">
      <alignment horizontal="right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2" xfId="0" applyFont="1" applyBorder="1" applyAlignment="1" applyProtection="1">
      <alignment horizontal="right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7" fillId="0" borderId="3" xfId="0" applyFont="1" applyBorder="1" applyAlignment="1" applyProtection="1">
      <alignment horizontal="right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/>
      <protection locked="0"/>
    </xf>
    <xf numFmtId="179" fontId="5" fillId="8" borderId="16" xfId="0" applyNumberFormat="1" applyFont="1" applyFill="1" applyBorder="1" applyAlignment="1" applyProtection="1">
      <alignment horizontal="center" vertical="center"/>
      <protection locked="0"/>
    </xf>
    <xf numFmtId="0" fontId="6" fillId="0" borderId="1" xfId="0" applyFont="1" applyBorder="1" applyAlignment="1" applyProtection="1">
      <alignment horizontal="center" vertical="center"/>
      <protection locked="0"/>
    </xf>
    <xf numFmtId="0" fontId="3" fillId="9" borderId="1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2</xdr:row>
          <xdr:rowOff>88900</xdr:rowOff>
        </xdr:from>
        <xdr:to>
          <xdr:col>4</xdr:col>
          <xdr:colOff>1143000</xdr:colOff>
          <xdr:row>4</xdr:row>
          <xdr:rowOff>152400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5</xdr:row>
          <xdr:rowOff>44450</xdr:rowOff>
        </xdr:from>
        <xdr:to>
          <xdr:col>4</xdr:col>
          <xdr:colOff>1143000</xdr:colOff>
          <xdr:row>7</xdr:row>
          <xdr:rowOff>107950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8</xdr:row>
          <xdr:rowOff>6350</xdr:rowOff>
        </xdr:from>
        <xdr:to>
          <xdr:col>4</xdr:col>
          <xdr:colOff>1143000</xdr:colOff>
          <xdr:row>10</xdr:row>
          <xdr:rowOff>69850</xdr:rowOff>
        </xdr:to>
        <xdr:sp macro="" textlink="">
          <xdr:nvSpPr>
            <xdr:cNvPr id="1030" name="CommandButton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101600</xdr:colOff>
          <xdr:row>3</xdr:row>
          <xdr:rowOff>120650</xdr:rowOff>
        </xdr:from>
        <xdr:to>
          <xdr:col>13</xdr:col>
          <xdr:colOff>1155700</xdr:colOff>
          <xdr:row>5</xdr:row>
          <xdr:rowOff>184150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AE4B2-99AC-4773-89FA-10ABB66AA013}">
  <sheetPr codeName="Sheet1">
    <tabColor theme="4" tint="0.59999389629810485"/>
  </sheetPr>
  <dimension ref="A1:H28"/>
  <sheetViews>
    <sheetView showGridLines="0" tabSelected="1" zoomScaleNormal="100" workbookViewId="0">
      <selection activeCell="B3" sqref="B3"/>
    </sheetView>
  </sheetViews>
  <sheetFormatPr defaultColWidth="0" defaultRowHeight="18" zeroHeight="1" x14ac:dyDescent="0.55000000000000004"/>
  <cols>
    <col min="1" max="1" width="8.33203125" style="60" customWidth="1"/>
    <col min="2" max="2" width="29.6640625" style="56" customWidth="1"/>
    <col min="3" max="3" width="10" style="56" customWidth="1"/>
    <col min="4" max="4" width="1.25" customWidth="1"/>
    <col min="5" max="5" width="16.25" customWidth="1"/>
    <col min="6" max="6" width="1" customWidth="1"/>
    <col min="7" max="7" width="2.5" hidden="1" customWidth="1"/>
    <col min="8" max="8" width="8.4140625" hidden="1" customWidth="1"/>
    <col min="9" max="16384" width="8.6640625" hidden="1"/>
  </cols>
  <sheetData>
    <row r="1" spans="1:8" ht="7.5" customHeight="1" x14ac:dyDescent="0.55000000000000004">
      <c r="A1" s="39"/>
      <c r="B1" s="40"/>
      <c r="C1" s="40"/>
      <c r="D1" s="7"/>
      <c r="E1" s="7"/>
    </row>
    <row r="2" spans="1:8" ht="20" x14ac:dyDescent="0.55000000000000004">
      <c r="A2" s="41"/>
      <c r="B2" s="42" t="s">
        <v>112</v>
      </c>
      <c r="C2" s="43" t="s">
        <v>120</v>
      </c>
    </row>
    <row r="3" spans="1:8" s="3" customFormat="1" ht="20" x14ac:dyDescent="0.55000000000000004">
      <c r="A3" s="44">
        <v>1</v>
      </c>
      <c r="B3" s="45" t="s">
        <v>112</v>
      </c>
      <c r="C3" s="46"/>
      <c r="E3" s="14" t="s">
        <v>159</v>
      </c>
      <c r="H3" s="3">
        <f>IF(C3="", 0,IF(C3=1,15,IF(C3=2,12,13-C3)))</f>
        <v>0</v>
      </c>
    </row>
    <row r="4" spans="1:8" s="3" customFormat="1" ht="20" x14ac:dyDescent="0.55000000000000004">
      <c r="A4" s="47">
        <v>2</v>
      </c>
      <c r="B4" s="48" t="s">
        <v>112</v>
      </c>
      <c r="C4" s="49"/>
      <c r="E4" s="14"/>
      <c r="H4" s="3">
        <f t="shared" ref="H4:H12" si="0">IF(C4="", 0,IF(C4=1,15,IF(C4=2,12,13-C4)))</f>
        <v>0</v>
      </c>
    </row>
    <row r="5" spans="1:8" s="3" customFormat="1" ht="20" x14ac:dyDescent="0.55000000000000004">
      <c r="A5" s="47">
        <v>3</v>
      </c>
      <c r="B5" s="48" t="s">
        <v>112</v>
      </c>
      <c r="C5" s="50"/>
      <c r="E5" s="14"/>
      <c r="H5" s="3">
        <f t="shared" si="0"/>
        <v>0</v>
      </c>
    </row>
    <row r="6" spans="1:8" s="3" customFormat="1" ht="20" x14ac:dyDescent="0.55000000000000004">
      <c r="A6" s="47">
        <v>4</v>
      </c>
      <c r="B6" s="48" t="s">
        <v>112</v>
      </c>
      <c r="C6" s="51"/>
      <c r="E6" s="14"/>
      <c r="H6" s="3">
        <f t="shared" si="0"/>
        <v>0</v>
      </c>
    </row>
    <row r="7" spans="1:8" s="3" customFormat="1" ht="20" x14ac:dyDescent="0.55000000000000004">
      <c r="A7" s="47">
        <v>5</v>
      </c>
      <c r="B7" s="48" t="s">
        <v>112</v>
      </c>
      <c r="C7" s="51"/>
      <c r="E7" s="14"/>
      <c r="H7" s="3">
        <f t="shared" si="0"/>
        <v>0</v>
      </c>
    </row>
    <row r="8" spans="1:8" s="3" customFormat="1" ht="20" x14ac:dyDescent="0.55000000000000004">
      <c r="A8" s="47">
        <v>6</v>
      </c>
      <c r="B8" s="48" t="s">
        <v>112</v>
      </c>
      <c r="C8" s="51"/>
      <c r="E8" s="14"/>
      <c r="H8" s="3">
        <f t="shared" si="0"/>
        <v>0</v>
      </c>
    </row>
    <row r="9" spans="1:8" s="3" customFormat="1" ht="20" x14ac:dyDescent="0.55000000000000004">
      <c r="A9" s="47">
        <v>7</v>
      </c>
      <c r="B9" s="48" t="s">
        <v>112</v>
      </c>
      <c r="C9" s="49"/>
      <c r="E9" s="14"/>
      <c r="H9" s="3">
        <f>IF(C9="", 0,IF(C9=1,15,IF(C9=2,12,13-C9)))</f>
        <v>0</v>
      </c>
    </row>
    <row r="10" spans="1:8" s="3" customFormat="1" ht="20" x14ac:dyDescent="0.55000000000000004">
      <c r="A10" s="47">
        <v>8</v>
      </c>
      <c r="B10" s="48" t="s">
        <v>112</v>
      </c>
      <c r="C10" s="50"/>
      <c r="E10" s="14"/>
      <c r="H10" s="3">
        <f>IF(C10="", 0,IF(C10=1,15,IF(C10=2,12,13-C10)))</f>
        <v>0</v>
      </c>
    </row>
    <row r="11" spans="1:8" s="3" customFormat="1" ht="20" x14ac:dyDescent="0.55000000000000004">
      <c r="A11" s="47">
        <v>9</v>
      </c>
      <c r="B11" s="48" t="s">
        <v>112</v>
      </c>
      <c r="C11" s="50"/>
      <c r="E11" s="14"/>
      <c r="H11" s="3">
        <f t="shared" si="0"/>
        <v>0</v>
      </c>
    </row>
    <row r="12" spans="1:8" s="3" customFormat="1" ht="20" x14ac:dyDescent="0.55000000000000004">
      <c r="A12" s="47">
        <v>10</v>
      </c>
      <c r="B12" s="48" t="s">
        <v>112</v>
      </c>
      <c r="C12" s="50"/>
      <c r="H12" s="3">
        <f t="shared" si="0"/>
        <v>0</v>
      </c>
    </row>
    <row r="13" spans="1:8" s="3" customFormat="1" ht="20" x14ac:dyDescent="0.55000000000000004">
      <c r="A13" s="47">
        <v>11</v>
      </c>
      <c r="B13" s="48" t="s">
        <v>112</v>
      </c>
      <c r="C13" s="50"/>
      <c r="H13" s="3">
        <f>IF(C13="", 0,IF(C13=1,15,IF(C13=2,12,13-C13)))</f>
        <v>0</v>
      </c>
    </row>
    <row r="14" spans="1:8" s="3" customFormat="1" ht="20" x14ac:dyDescent="0.55000000000000004">
      <c r="A14" s="52">
        <v>12</v>
      </c>
      <c r="B14" s="53" t="s">
        <v>112</v>
      </c>
      <c r="C14" s="54"/>
      <c r="H14" s="3">
        <f>IF(C14="", 0,IF(C14=1,15,IF(C14=2,12,13-C14)))</f>
        <v>0</v>
      </c>
    </row>
    <row r="15" spans="1:8" x14ac:dyDescent="0.55000000000000004">
      <c r="A15" s="55" t="s">
        <v>155</v>
      </c>
      <c r="B15" s="56" t="s">
        <v>146</v>
      </c>
      <c r="C15" s="57">
        <f>SUM(H3:H14)</f>
        <v>0</v>
      </c>
    </row>
    <row r="16" spans="1:8" ht="9" customHeight="1" thickBot="1" x14ac:dyDescent="0.6">
      <c r="A16" s="58"/>
      <c r="B16" s="59"/>
      <c r="C16" s="59"/>
      <c r="D16" s="15"/>
      <c r="E16" s="15"/>
      <c r="F16" s="15"/>
      <c r="G16" s="15"/>
    </row>
    <row r="17" spans="1:3" ht="7.5" customHeight="1" x14ac:dyDescent="0.55000000000000004"/>
    <row r="18" spans="1:3" ht="15.5" customHeight="1" x14ac:dyDescent="0.55000000000000004">
      <c r="A18" s="70" t="s">
        <v>160</v>
      </c>
      <c r="B18" s="70"/>
      <c r="C18" s="70"/>
    </row>
    <row r="19" spans="1:3" x14ac:dyDescent="0.55000000000000004">
      <c r="A19" s="61" t="s">
        <v>157</v>
      </c>
      <c r="B19" s="62"/>
      <c r="C19" s="63"/>
    </row>
    <row r="20" spans="1:3" x14ac:dyDescent="0.55000000000000004">
      <c r="A20" s="64"/>
      <c r="B20" s="65"/>
      <c r="C20" s="63"/>
    </row>
    <row r="21" spans="1:3" x14ac:dyDescent="0.55000000000000004">
      <c r="A21" s="64"/>
      <c r="B21" s="65"/>
      <c r="C21" s="63"/>
    </row>
    <row r="22" spans="1:3" x14ac:dyDescent="0.55000000000000004">
      <c r="A22" s="64"/>
      <c r="B22" s="65"/>
      <c r="C22" s="63"/>
    </row>
    <row r="23" spans="1:3" x14ac:dyDescent="0.55000000000000004">
      <c r="A23" s="64"/>
      <c r="B23" s="65"/>
      <c r="C23" s="63"/>
    </row>
    <row r="24" spans="1:3" x14ac:dyDescent="0.55000000000000004">
      <c r="A24" s="64"/>
      <c r="B24" s="65"/>
      <c r="C24" s="63"/>
    </row>
    <row r="25" spans="1:3" x14ac:dyDescent="0.55000000000000004">
      <c r="A25" s="64"/>
      <c r="B25" s="65"/>
      <c r="C25" s="63"/>
    </row>
    <row r="26" spans="1:3" x14ac:dyDescent="0.55000000000000004">
      <c r="A26" s="64"/>
      <c r="B26" s="65"/>
      <c r="C26" s="63"/>
    </row>
    <row r="27" spans="1:3" x14ac:dyDescent="0.55000000000000004">
      <c r="A27" s="66" t="s">
        <v>158</v>
      </c>
      <c r="B27" s="67"/>
      <c r="C27" s="68"/>
    </row>
    <row r="28" spans="1:3" x14ac:dyDescent="0.55000000000000004"/>
  </sheetData>
  <sheetProtection sheet="1" objects="1" scenarios="1" selectLockedCells="1"/>
  <mergeCells count="1">
    <mergeCell ref="A18:C18"/>
  </mergeCells>
  <phoneticPr fontId="1"/>
  <dataValidations count="1">
    <dataValidation type="whole" allowBlank="1" showInputMessage="1" showErrorMessage="1" sqref="C3:C14" xr:uid="{9DDE9BAE-EB28-4D04-84C2-C42CDE42FCF2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CommandButton1">
          <controlPr defaultSize="0" autoLine="0" r:id="rId5">
            <anchor moveWithCells="1">
              <from>
                <xdr:col>4</xdr:col>
                <xdr:colOff>88900</xdr:colOff>
                <xdr:row>2</xdr:row>
                <xdr:rowOff>88900</xdr:rowOff>
              </from>
              <to>
                <xdr:col>4</xdr:col>
                <xdr:colOff>1143000</xdr:colOff>
                <xdr:row>4</xdr:row>
                <xdr:rowOff>152400</xdr:rowOff>
              </to>
            </anchor>
          </controlPr>
        </control>
      </mc:Choice>
      <mc:Fallback>
        <control shapeId="1027" r:id="rId4" name="CommandButton1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4</xdr:col>
                <xdr:colOff>88900</xdr:colOff>
                <xdr:row>5</xdr:row>
                <xdr:rowOff>44450</xdr:rowOff>
              </from>
              <to>
                <xdr:col>4</xdr:col>
                <xdr:colOff>1143000</xdr:colOff>
                <xdr:row>7</xdr:row>
                <xdr:rowOff>107950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30" r:id="rId8" name="CommandButton3">
          <controlPr defaultSize="0" autoLine="0" r:id="rId9">
            <anchor moveWithCells="1">
              <from>
                <xdr:col>4</xdr:col>
                <xdr:colOff>88900</xdr:colOff>
                <xdr:row>8</xdr:row>
                <xdr:rowOff>6350</xdr:rowOff>
              </from>
              <to>
                <xdr:col>4</xdr:col>
                <xdr:colOff>1143000</xdr:colOff>
                <xdr:row>10</xdr:row>
                <xdr:rowOff>69850</xdr:rowOff>
              </to>
            </anchor>
          </controlPr>
        </control>
      </mc:Choice>
      <mc:Fallback>
        <control shapeId="1030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B966134-E8A4-49CB-9707-DF9EB30C429D}">
          <x14:formula1>
            <xm:f>MasterData!$A:$A</xm:f>
          </x14:formula1>
          <xm:sqref>B3:B14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3370B-36BA-453A-A891-363D256A8546}">
  <sheetPr codeName="Sheet2">
    <tabColor theme="7" tint="0.59999389629810485"/>
  </sheetPr>
  <dimension ref="A1:O25"/>
  <sheetViews>
    <sheetView showGridLines="0" zoomScaleNormal="100" workbookViewId="0"/>
  </sheetViews>
  <sheetFormatPr defaultColWidth="0" defaultRowHeight="18" zeroHeight="1" x14ac:dyDescent="0.55000000000000004"/>
  <cols>
    <col min="1" max="1" width="3.33203125" customWidth="1"/>
    <col min="2" max="2" width="9.58203125" customWidth="1"/>
    <col min="3" max="3" width="29.6640625" customWidth="1"/>
    <col min="4" max="4" width="8.33203125" customWidth="1"/>
    <col min="5" max="5" width="3.33203125" customWidth="1"/>
    <col min="6" max="6" width="9.58203125" customWidth="1"/>
    <col min="7" max="7" width="29.6640625" customWidth="1"/>
    <col min="8" max="8" width="8.33203125" customWidth="1"/>
    <col min="9" max="9" width="3.33203125" customWidth="1"/>
    <col min="10" max="10" width="9.58203125" customWidth="1"/>
    <col min="11" max="11" width="29.6640625" customWidth="1"/>
    <col min="12" max="12" width="8.33203125" customWidth="1"/>
    <col min="13" max="13" width="2.5" customWidth="1"/>
    <col min="14" max="14" width="16.6640625" customWidth="1"/>
    <col min="15" max="15" width="2.5" customWidth="1"/>
    <col min="16" max="16384" width="8.6640625" hidden="1"/>
  </cols>
  <sheetData>
    <row r="1" spans="2:15" x14ac:dyDescent="0.55000000000000004"/>
    <row r="2" spans="2:15" ht="20" x14ac:dyDescent="0.55000000000000004">
      <c r="B2" s="71" t="s">
        <v>132</v>
      </c>
      <c r="C2" s="71"/>
      <c r="D2" s="72"/>
      <c r="F2" s="79" t="s">
        <v>134</v>
      </c>
      <c r="G2" s="79"/>
      <c r="H2" s="79"/>
      <c r="I2" s="17"/>
      <c r="J2" s="77" t="s">
        <v>156</v>
      </c>
      <c r="K2" s="77"/>
      <c r="L2" s="78"/>
      <c r="N2" s="22" t="s">
        <v>163</v>
      </c>
      <c r="O2" s="21"/>
    </row>
    <row r="3" spans="2:15" s="16" customFormat="1" ht="20" x14ac:dyDescent="0.55000000000000004">
      <c r="B3" s="12" t="s">
        <v>122</v>
      </c>
      <c r="C3" s="23"/>
      <c r="D3" s="24"/>
      <c r="F3" s="13" t="s">
        <v>122</v>
      </c>
      <c r="G3" s="23"/>
      <c r="H3" s="31"/>
      <c r="I3" s="18"/>
      <c r="J3" s="13" t="s">
        <v>122</v>
      </c>
      <c r="K3" s="23"/>
      <c r="L3" s="35"/>
      <c r="N3" s="69">
        <v>1</v>
      </c>
      <c r="O3" s="20"/>
    </row>
    <row r="4" spans="2:15" s="16" customFormat="1" ht="20" x14ac:dyDescent="0.55000000000000004">
      <c r="B4" s="9" t="s">
        <v>123</v>
      </c>
      <c r="C4" s="25"/>
      <c r="D4" s="26"/>
      <c r="F4" s="9" t="s">
        <v>123</v>
      </c>
      <c r="G4" s="25"/>
      <c r="H4" s="32"/>
      <c r="I4" s="19"/>
      <c r="J4" s="9" t="s">
        <v>123</v>
      </c>
      <c r="K4" s="25"/>
      <c r="L4" s="36"/>
      <c r="M4" s="20"/>
      <c r="N4" s="20"/>
      <c r="O4" s="20"/>
    </row>
    <row r="5" spans="2:15" s="16" customFormat="1" ht="20" x14ac:dyDescent="0.55000000000000004">
      <c r="B5" s="8" t="s">
        <v>124</v>
      </c>
      <c r="C5" s="27"/>
      <c r="D5" s="28"/>
      <c r="F5" s="8" t="s">
        <v>124</v>
      </c>
      <c r="G5" s="27"/>
      <c r="H5" s="33"/>
      <c r="I5" s="19"/>
      <c r="J5" s="8" t="s">
        <v>124</v>
      </c>
      <c r="K5" s="27"/>
      <c r="L5" s="37"/>
    </row>
    <row r="6" spans="2:15" s="16" customFormat="1" ht="20" x14ac:dyDescent="0.55000000000000004">
      <c r="B6" s="9" t="s">
        <v>125</v>
      </c>
      <c r="C6" s="25"/>
      <c r="D6" s="26"/>
      <c r="F6" s="9" t="s">
        <v>125</v>
      </c>
      <c r="G6" s="25"/>
      <c r="H6" s="32"/>
      <c r="I6" s="19"/>
      <c r="J6" s="9" t="s">
        <v>125</v>
      </c>
      <c r="K6" s="25"/>
      <c r="L6" s="36"/>
    </row>
    <row r="7" spans="2:15" s="16" customFormat="1" ht="20" x14ac:dyDescent="0.55000000000000004">
      <c r="B7" s="8" t="s">
        <v>126</v>
      </c>
      <c r="C7" s="27"/>
      <c r="D7" s="28"/>
      <c r="F7" s="8" t="s">
        <v>126</v>
      </c>
      <c r="G7" s="27"/>
      <c r="H7" s="33"/>
      <c r="I7" s="19"/>
      <c r="J7" s="8" t="s">
        <v>126</v>
      </c>
      <c r="K7" s="27"/>
      <c r="L7" s="37"/>
    </row>
    <row r="8" spans="2:15" s="16" customFormat="1" ht="20" x14ac:dyDescent="0.55000000000000004">
      <c r="B8" s="9" t="s">
        <v>127</v>
      </c>
      <c r="C8" s="25"/>
      <c r="D8" s="26"/>
      <c r="F8" s="9" t="s">
        <v>127</v>
      </c>
      <c r="G8" s="25"/>
      <c r="H8" s="32"/>
      <c r="I8" s="19"/>
      <c r="J8" s="9" t="s">
        <v>127</v>
      </c>
      <c r="K8" s="25"/>
      <c r="L8" s="36"/>
    </row>
    <row r="9" spans="2:15" s="16" customFormat="1" ht="20" x14ac:dyDescent="0.55000000000000004">
      <c r="B9" s="8" t="s">
        <v>128</v>
      </c>
      <c r="C9" s="27"/>
      <c r="D9" s="28"/>
      <c r="F9" s="8" t="s">
        <v>128</v>
      </c>
      <c r="G9" s="27"/>
      <c r="H9" s="33"/>
      <c r="I9" s="19"/>
      <c r="J9" s="8" t="s">
        <v>128</v>
      </c>
      <c r="K9" s="27"/>
      <c r="L9" s="37"/>
    </row>
    <row r="10" spans="2:15" s="16" customFormat="1" ht="20" x14ac:dyDescent="0.55000000000000004">
      <c r="B10" s="9" t="s">
        <v>129</v>
      </c>
      <c r="C10" s="25"/>
      <c r="D10" s="26"/>
      <c r="F10" s="9" t="s">
        <v>129</v>
      </c>
      <c r="G10" s="25"/>
      <c r="H10" s="32"/>
      <c r="I10" s="19"/>
      <c r="J10" s="9" t="s">
        <v>129</v>
      </c>
      <c r="K10" s="25"/>
      <c r="L10" s="36"/>
    </row>
    <row r="11" spans="2:15" s="16" customFormat="1" ht="20" x14ac:dyDescent="0.55000000000000004">
      <c r="B11" s="8" t="s">
        <v>130</v>
      </c>
      <c r="C11" s="27"/>
      <c r="D11" s="28"/>
      <c r="F11" s="8" t="s">
        <v>130</v>
      </c>
      <c r="G11" s="27"/>
      <c r="H11" s="33"/>
      <c r="I11" s="19"/>
      <c r="J11" s="8" t="s">
        <v>130</v>
      </c>
      <c r="K11" s="27"/>
      <c r="L11" s="37"/>
    </row>
    <row r="12" spans="2:15" s="16" customFormat="1" ht="20" x14ac:dyDescent="0.55000000000000004">
      <c r="B12" s="10" t="s">
        <v>131</v>
      </c>
      <c r="C12" s="29"/>
      <c r="D12" s="30"/>
      <c r="F12" s="10" t="s">
        <v>131</v>
      </c>
      <c r="G12" s="29"/>
      <c r="H12" s="34"/>
      <c r="I12" s="19"/>
      <c r="J12" s="10" t="s">
        <v>131</v>
      </c>
      <c r="K12" s="29"/>
      <c r="L12" s="38"/>
    </row>
    <row r="13" spans="2:15" x14ac:dyDescent="0.55000000000000004"/>
    <row r="14" spans="2:15" ht="20" x14ac:dyDescent="0.55000000000000004">
      <c r="B14" s="73" t="s">
        <v>133</v>
      </c>
      <c r="C14" s="73"/>
      <c r="D14" s="74"/>
      <c r="F14" s="75" t="s">
        <v>135</v>
      </c>
      <c r="G14" s="75"/>
      <c r="H14" s="76"/>
      <c r="I14" s="17"/>
      <c r="J14" s="80" t="s">
        <v>137</v>
      </c>
      <c r="K14" s="80"/>
      <c r="L14" s="81"/>
    </row>
    <row r="15" spans="2:15" ht="20" x14ac:dyDescent="0.55000000000000004">
      <c r="B15" s="12" t="s">
        <v>122</v>
      </c>
      <c r="C15" s="23"/>
      <c r="D15" s="24"/>
      <c r="F15" s="12" t="s">
        <v>122</v>
      </c>
      <c r="G15" s="23"/>
      <c r="H15" s="31"/>
      <c r="I15" s="18"/>
      <c r="J15" s="13" t="s">
        <v>122</v>
      </c>
      <c r="K15" s="23"/>
      <c r="L15" s="35"/>
    </row>
    <row r="16" spans="2:15" ht="20" x14ac:dyDescent="0.55000000000000004">
      <c r="B16" s="9" t="s">
        <v>123</v>
      </c>
      <c r="C16" s="25"/>
      <c r="D16" s="26"/>
      <c r="F16" s="9" t="s">
        <v>123</v>
      </c>
      <c r="G16" s="25"/>
      <c r="H16" s="32"/>
      <c r="I16" s="19"/>
      <c r="J16" s="9" t="s">
        <v>123</v>
      </c>
      <c r="K16" s="25"/>
      <c r="L16" s="36"/>
    </row>
    <row r="17" spans="2:12" ht="20" x14ac:dyDescent="0.55000000000000004">
      <c r="B17" s="8" t="s">
        <v>124</v>
      </c>
      <c r="C17" s="27"/>
      <c r="D17" s="28"/>
      <c r="F17" s="8" t="s">
        <v>124</v>
      </c>
      <c r="G17" s="27"/>
      <c r="H17" s="33"/>
      <c r="I17" s="19"/>
      <c r="J17" s="8" t="s">
        <v>124</v>
      </c>
      <c r="K17" s="27"/>
      <c r="L17" s="37"/>
    </row>
    <row r="18" spans="2:12" ht="20" x14ac:dyDescent="0.55000000000000004">
      <c r="B18" s="9" t="s">
        <v>125</v>
      </c>
      <c r="C18" s="25"/>
      <c r="D18" s="26"/>
      <c r="F18" s="9" t="s">
        <v>125</v>
      </c>
      <c r="G18" s="25"/>
      <c r="H18" s="32"/>
      <c r="I18" s="19"/>
      <c r="J18" s="9" t="s">
        <v>125</v>
      </c>
      <c r="K18" s="25"/>
      <c r="L18" s="36"/>
    </row>
    <row r="19" spans="2:12" ht="20" x14ac:dyDescent="0.55000000000000004">
      <c r="B19" s="8" t="s">
        <v>126</v>
      </c>
      <c r="C19" s="27"/>
      <c r="D19" s="28"/>
      <c r="F19" s="8" t="s">
        <v>126</v>
      </c>
      <c r="G19" s="27"/>
      <c r="H19" s="33"/>
      <c r="I19" s="19"/>
      <c r="J19" s="8" t="s">
        <v>126</v>
      </c>
      <c r="K19" s="27"/>
      <c r="L19" s="37"/>
    </row>
    <row r="20" spans="2:12" ht="20" x14ac:dyDescent="0.55000000000000004">
      <c r="B20" s="9" t="s">
        <v>127</v>
      </c>
      <c r="C20" s="25"/>
      <c r="D20" s="26"/>
      <c r="F20" s="9" t="s">
        <v>127</v>
      </c>
      <c r="G20" s="25"/>
      <c r="H20" s="32"/>
      <c r="I20" s="19"/>
      <c r="J20" s="9" t="s">
        <v>127</v>
      </c>
      <c r="K20" s="25"/>
      <c r="L20" s="36"/>
    </row>
    <row r="21" spans="2:12" ht="20" x14ac:dyDescent="0.55000000000000004">
      <c r="B21" s="8" t="s">
        <v>128</v>
      </c>
      <c r="C21" s="27"/>
      <c r="D21" s="28"/>
      <c r="F21" s="8" t="s">
        <v>128</v>
      </c>
      <c r="G21" s="27"/>
      <c r="H21" s="33"/>
      <c r="I21" s="19"/>
      <c r="J21" s="8" t="s">
        <v>128</v>
      </c>
      <c r="K21" s="27"/>
      <c r="L21" s="37"/>
    </row>
    <row r="22" spans="2:12" ht="20" x14ac:dyDescent="0.55000000000000004">
      <c r="B22" s="9" t="s">
        <v>129</v>
      </c>
      <c r="C22" s="25"/>
      <c r="D22" s="26"/>
      <c r="F22" s="9" t="s">
        <v>129</v>
      </c>
      <c r="G22" s="25"/>
      <c r="H22" s="32"/>
      <c r="I22" s="19"/>
      <c r="J22" s="9" t="s">
        <v>129</v>
      </c>
      <c r="K22" s="25"/>
      <c r="L22" s="36"/>
    </row>
    <row r="23" spans="2:12" ht="20" x14ac:dyDescent="0.55000000000000004">
      <c r="B23" s="8" t="s">
        <v>130</v>
      </c>
      <c r="C23" s="27"/>
      <c r="D23" s="28"/>
      <c r="F23" s="8" t="s">
        <v>130</v>
      </c>
      <c r="G23" s="27"/>
      <c r="H23" s="33"/>
      <c r="I23" s="19"/>
      <c r="J23" s="8" t="s">
        <v>130</v>
      </c>
      <c r="K23" s="27"/>
      <c r="L23" s="37"/>
    </row>
    <row r="24" spans="2:12" ht="20" x14ac:dyDescent="0.55000000000000004">
      <c r="B24" s="10" t="s">
        <v>131</v>
      </c>
      <c r="C24" s="29"/>
      <c r="D24" s="30"/>
      <c r="F24" s="10" t="s">
        <v>131</v>
      </c>
      <c r="G24" s="29"/>
      <c r="H24" s="34"/>
      <c r="I24" s="19"/>
      <c r="J24" s="10" t="s">
        <v>131</v>
      </c>
      <c r="K24" s="29"/>
      <c r="L24" s="38"/>
    </row>
    <row r="25" spans="2:12" x14ac:dyDescent="0.55000000000000004"/>
  </sheetData>
  <sheetProtection sheet="1" objects="1" scenarios="1" selectLockedCells="1"/>
  <mergeCells count="6">
    <mergeCell ref="B2:D2"/>
    <mergeCell ref="B14:D14"/>
    <mergeCell ref="F14:H14"/>
    <mergeCell ref="J2:L2"/>
    <mergeCell ref="F2:H2"/>
    <mergeCell ref="J14:L14"/>
  </mergeCells>
  <phoneticPr fontId="1"/>
  <dataValidations count="1">
    <dataValidation type="whole" operator="greaterThanOrEqual" allowBlank="1" showInputMessage="1" showErrorMessage="1" sqref="N3" xr:uid="{EF7C8796-372A-41AE-9AA8-CB56442299BD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13</xdr:col>
                <xdr:colOff>101600</xdr:colOff>
                <xdr:row>3</xdr:row>
                <xdr:rowOff>120650</xdr:rowOff>
              </from>
              <to>
                <xdr:col>13</xdr:col>
                <xdr:colOff>1155700</xdr:colOff>
                <xdr:row>5</xdr:row>
                <xdr:rowOff>184150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24115-E5FF-49C2-8F42-DE61FBB31B82}">
  <sheetPr codeName="Sheet3">
    <tabColor theme="9" tint="0.59999389629810485"/>
  </sheetPr>
  <dimension ref="A1:I65"/>
  <sheetViews>
    <sheetView workbookViewId="0">
      <pane ySplit="1" topLeftCell="A2" activePane="bottomLeft" state="frozen"/>
      <selection pane="bottomLeft"/>
    </sheetView>
  </sheetViews>
  <sheetFormatPr defaultRowHeight="20" x14ac:dyDescent="0.55000000000000004"/>
  <cols>
    <col min="1" max="1" width="26.83203125" customWidth="1"/>
    <col min="4" max="4" width="8.6640625" style="1"/>
    <col min="5" max="6" width="12.58203125" style="4" customWidth="1"/>
    <col min="7" max="7" width="12.5" customWidth="1"/>
  </cols>
  <sheetData>
    <row r="1" spans="1:9" x14ac:dyDescent="0.55000000000000004">
      <c r="A1" s="5" t="s">
        <v>113</v>
      </c>
      <c r="B1" s="5" t="s">
        <v>115</v>
      </c>
      <c r="C1" s="5" t="s">
        <v>116</v>
      </c>
      <c r="D1" s="6" t="s">
        <v>117</v>
      </c>
      <c r="E1" s="2" t="s">
        <v>119</v>
      </c>
      <c r="F1" s="2" t="s">
        <v>118</v>
      </c>
      <c r="G1" s="6" t="s">
        <v>136</v>
      </c>
      <c r="H1" t="s">
        <v>121</v>
      </c>
      <c r="I1">
        <v>0</v>
      </c>
    </row>
    <row r="2" spans="1:9" x14ac:dyDescent="0.55000000000000004">
      <c r="A2" t="s">
        <v>0</v>
      </c>
      <c r="B2">
        <v>0</v>
      </c>
      <c r="C2">
        <v>0</v>
      </c>
      <c r="D2">
        <v>0</v>
      </c>
      <c r="E2" s="4" t="str">
        <f t="shared" ref="E2:E33" si="0">IF($D2=0, "-",B2/$D2)</f>
        <v>-</v>
      </c>
      <c r="F2" s="4" t="str">
        <f t="shared" ref="F2:F33" si="1">IF($D2=0, "-",C2/$D2)</f>
        <v>-</v>
      </c>
      <c r="G2" s="11" t="str">
        <f t="shared" ref="G2:G33" si="2">IF(E2="-", "-", E2+F2-13)</f>
        <v>-</v>
      </c>
    </row>
    <row r="3" spans="1:9" x14ac:dyDescent="0.55000000000000004">
      <c r="A3" t="s">
        <v>1</v>
      </c>
      <c r="B3">
        <v>0</v>
      </c>
      <c r="C3">
        <v>0</v>
      </c>
      <c r="D3">
        <v>0</v>
      </c>
      <c r="E3" s="4" t="str">
        <f t="shared" si="0"/>
        <v>-</v>
      </c>
      <c r="F3" s="4" t="str">
        <f t="shared" si="1"/>
        <v>-</v>
      </c>
      <c r="G3" s="11" t="str">
        <f t="shared" si="2"/>
        <v>-</v>
      </c>
    </row>
    <row r="4" spans="1:9" x14ac:dyDescent="0.55000000000000004">
      <c r="A4" t="s">
        <v>2</v>
      </c>
      <c r="B4">
        <v>0</v>
      </c>
      <c r="C4">
        <v>0</v>
      </c>
      <c r="D4">
        <v>0</v>
      </c>
      <c r="E4" s="4" t="str">
        <f t="shared" si="0"/>
        <v>-</v>
      </c>
      <c r="F4" s="4" t="str">
        <f t="shared" si="1"/>
        <v>-</v>
      </c>
      <c r="G4" s="11" t="str">
        <f t="shared" si="2"/>
        <v>-</v>
      </c>
    </row>
    <row r="5" spans="1:9" x14ac:dyDescent="0.55000000000000004">
      <c r="A5" t="s">
        <v>3</v>
      </c>
      <c r="B5">
        <v>0</v>
      </c>
      <c r="C5">
        <v>0</v>
      </c>
      <c r="D5">
        <v>0</v>
      </c>
      <c r="E5" s="4" t="str">
        <f t="shared" si="0"/>
        <v>-</v>
      </c>
      <c r="F5" s="4" t="str">
        <f t="shared" si="1"/>
        <v>-</v>
      </c>
      <c r="G5" s="11" t="str">
        <f t="shared" si="2"/>
        <v>-</v>
      </c>
    </row>
    <row r="6" spans="1:9" x14ac:dyDescent="0.55000000000000004">
      <c r="A6" t="s">
        <v>4</v>
      </c>
      <c r="B6">
        <v>0</v>
      </c>
      <c r="C6">
        <v>0</v>
      </c>
      <c r="D6">
        <v>0</v>
      </c>
      <c r="E6" s="4" t="str">
        <f t="shared" si="0"/>
        <v>-</v>
      </c>
      <c r="F6" s="4" t="str">
        <f t="shared" si="1"/>
        <v>-</v>
      </c>
      <c r="G6" s="11" t="str">
        <f t="shared" si="2"/>
        <v>-</v>
      </c>
    </row>
    <row r="7" spans="1:9" x14ac:dyDescent="0.55000000000000004">
      <c r="A7" t="s">
        <v>5</v>
      </c>
      <c r="B7">
        <v>0</v>
      </c>
      <c r="C7">
        <v>0</v>
      </c>
      <c r="D7">
        <v>0</v>
      </c>
      <c r="E7" s="4" t="str">
        <f t="shared" si="0"/>
        <v>-</v>
      </c>
      <c r="F7" s="4" t="str">
        <f t="shared" si="1"/>
        <v>-</v>
      </c>
      <c r="G7" s="11" t="str">
        <f t="shared" si="2"/>
        <v>-</v>
      </c>
    </row>
    <row r="8" spans="1:9" x14ac:dyDescent="0.55000000000000004">
      <c r="A8" t="s">
        <v>6</v>
      </c>
      <c r="B8">
        <v>0</v>
      </c>
      <c r="C8">
        <v>0</v>
      </c>
      <c r="D8">
        <v>0</v>
      </c>
      <c r="E8" s="4" t="str">
        <f t="shared" si="0"/>
        <v>-</v>
      </c>
      <c r="F8" s="4" t="str">
        <f t="shared" si="1"/>
        <v>-</v>
      </c>
      <c r="G8" s="11" t="str">
        <f t="shared" si="2"/>
        <v>-</v>
      </c>
    </row>
    <row r="9" spans="1:9" x14ac:dyDescent="0.55000000000000004">
      <c r="A9" t="s">
        <v>7</v>
      </c>
      <c r="B9">
        <v>0</v>
      </c>
      <c r="C9">
        <v>0</v>
      </c>
      <c r="D9">
        <v>0</v>
      </c>
      <c r="E9" s="4" t="str">
        <f t="shared" si="0"/>
        <v>-</v>
      </c>
      <c r="F9" s="4" t="str">
        <f t="shared" si="1"/>
        <v>-</v>
      </c>
      <c r="G9" s="11" t="str">
        <f t="shared" si="2"/>
        <v>-</v>
      </c>
    </row>
    <row r="10" spans="1:9" x14ac:dyDescent="0.55000000000000004">
      <c r="A10" t="s">
        <v>8</v>
      </c>
      <c r="B10">
        <v>0</v>
      </c>
      <c r="C10">
        <v>0</v>
      </c>
      <c r="D10">
        <v>0</v>
      </c>
      <c r="E10" s="4" t="str">
        <f t="shared" si="0"/>
        <v>-</v>
      </c>
      <c r="F10" s="4" t="str">
        <f t="shared" si="1"/>
        <v>-</v>
      </c>
      <c r="G10" s="11" t="str">
        <f t="shared" si="2"/>
        <v>-</v>
      </c>
    </row>
    <row r="11" spans="1:9" x14ac:dyDescent="0.55000000000000004">
      <c r="A11" t="s">
        <v>9</v>
      </c>
      <c r="B11">
        <v>0</v>
      </c>
      <c r="C11">
        <v>0</v>
      </c>
      <c r="D11">
        <v>0</v>
      </c>
      <c r="E11" s="4" t="str">
        <f t="shared" si="0"/>
        <v>-</v>
      </c>
      <c r="F11" s="4" t="str">
        <f t="shared" si="1"/>
        <v>-</v>
      </c>
      <c r="G11" s="11" t="str">
        <f t="shared" si="2"/>
        <v>-</v>
      </c>
    </row>
    <row r="12" spans="1:9" x14ac:dyDescent="0.55000000000000004">
      <c r="A12" t="s">
        <v>10</v>
      </c>
      <c r="B12">
        <v>0</v>
      </c>
      <c r="C12">
        <v>0</v>
      </c>
      <c r="D12">
        <v>0</v>
      </c>
      <c r="E12" s="4" t="str">
        <f t="shared" si="0"/>
        <v>-</v>
      </c>
      <c r="F12" s="4" t="str">
        <f t="shared" si="1"/>
        <v>-</v>
      </c>
      <c r="G12" s="11" t="str">
        <f t="shared" si="2"/>
        <v>-</v>
      </c>
    </row>
    <row r="13" spans="1:9" x14ac:dyDescent="0.55000000000000004">
      <c r="A13" t="s">
        <v>11</v>
      </c>
      <c r="B13">
        <v>0</v>
      </c>
      <c r="C13">
        <v>0</v>
      </c>
      <c r="D13">
        <v>0</v>
      </c>
      <c r="E13" s="4" t="str">
        <f t="shared" si="0"/>
        <v>-</v>
      </c>
      <c r="F13" s="4" t="str">
        <f t="shared" si="1"/>
        <v>-</v>
      </c>
      <c r="G13" s="11" t="str">
        <f t="shared" si="2"/>
        <v>-</v>
      </c>
    </row>
    <row r="14" spans="1:9" x14ac:dyDescent="0.55000000000000004">
      <c r="A14" t="s">
        <v>12</v>
      </c>
      <c r="B14">
        <v>0</v>
      </c>
      <c r="C14">
        <v>0</v>
      </c>
      <c r="D14">
        <v>0</v>
      </c>
      <c r="E14" s="4" t="str">
        <f t="shared" si="0"/>
        <v>-</v>
      </c>
      <c r="F14" s="4" t="str">
        <f t="shared" si="1"/>
        <v>-</v>
      </c>
      <c r="G14" s="11" t="str">
        <f t="shared" si="2"/>
        <v>-</v>
      </c>
    </row>
    <row r="15" spans="1:9" x14ac:dyDescent="0.55000000000000004">
      <c r="A15" t="s">
        <v>13</v>
      </c>
      <c r="B15">
        <v>0</v>
      </c>
      <c r="C15">
        <v>0</v>
      </c>
      <c r="D15">
        <v>0</v>
      </c>
      <c r="E15" s="4" t="str">
        <f t="shared" si="0"/>
        <v>-</v>
      </c>
      <c r="F15" s="4" t="str">
        <f t="shared" si="1"/>
        <v>-</v>
      </c>
      <c r="G15" s="11" t="str">
        <f t="shared" si="2"/>
        <v>-</v>
      </c>
    </row>
    <row r="16" spans="1:9" x14ac:dyDescent="0.55000000000000004">
      <c r="A16" t="s">
        <v>14</v>
      </c>
      <c r="B16">
        <v>0</v>
      </c>
      <c r="C16">
        <v>0</v>
      </c>
      <c r="D16">
        <v>0</v>
      </c>
      <c r="E16" s="4" t="str">
        <f t="shared" si="0"/>
        <v>-</v>
      </c>
      <c r="F16" s="4" t="str">
        <f t="shared" si="1"/>
        <v>-</v>
      </c>
      <c r="G16" s="11" t="str">
        <f t="shared" si="2"/>
        <v>-</v>
      </c>
    </row>
    <row r="17" spans="1:7" x14ac:dyDescent="0.55000000000000004">
      <c r="A17" t="s">
        <v>15</v>
      </c>
      <c r="B17">
        <v>0</v>
      </c>
      <c r="C17">
        <v>0</v>
      </c>
      <c r="D17">
        <v>0</v>
      </c>
      <c r="E17" s="4" t="str">
        <f t="shared" si="0"/>
        <v>-</v>
      </c>
      <c r="F17" s="4" t="str">
        <f t="shared" si="1"/>
        <v>-</v>
      </c>
      <c r="G17" s="11" t="str">
        <f t="shared" si="2"/>
        <v>-</v>
      </c>
    </row>
    <row r="18" spans="1:7" x14ac:dyDescent="0.55000000000000004">
      <c r="A18" t="s">
        <v>16</v>
      </c>
      <c r="B18">
        <v>0</v>
      </c>
      <c r="C18">
        <v>0</v>
      </c>
      <c r="D18">
        <v>0</v>
      </c>
      <c r="E18" s="4" t="str">
        <f t="shared" si="0"/>
        <v>-</v>
      </c>
      <c r="F18" s="4" t="str">
        <f t="shared" si="1"/>
        <v>-</v>
      </c>
      <c r="G18" s="11" t="str">
        <f t="shared" si="2"/>
        <v>-</v>
      </c>
    </row>
    <row r="19" spans="1:7" x14ac:dyDescent="0.55000000000000004">
      <c r="A19" t="s">
        <v>17</v>
      </c>
      <c r="B19">
        <v>0</v>
      </c>
      <c r="C19">
        <v>0</v>
      </c>
      <c r="D19">
        <v>0</v>
      </c>
      <c r="E19" s="4" t="str">
        <f t="shared" si="0"/>
        <v>-</v>
      </c>
      <c r="F19" s="4" t="str">
        <f t="shared" si="1"/>
        <v>-</v>
      </c>
      <c r="G19" s="11" t="str">
        <f t="shared" si="2"/>
        <v>-</v>
      </c>
    </row>
    <row r="20" spans="1:7" x14ac:dyDescent="0.55000000000000004">
      <c r="A20" t="s">
        <v>18</v>
      </c>
      <c r="B20">
        <v>0</v>
      </c>
      <c r="C20">
        <v>0</v>
      </c>
      <c r="D20">
        <v>0</v>
      </c>
      <c r="E20" s="4" t="str">
        <f t="shared" si="0"/>
        <v>-</v>
      </c>
      <c r="F20" s="4" t="str">
        <f t="shared" si="1"/>
        <v>-</v>
      </c>
      <c r="G20" s="11" t="str">
        <f t="shared" si="2"/>
        <v>-</v>
      </c>
    </row>
    <row r="21" spans="1:7" x14ac:dyDescent="0.55000000000000004">
      <c r="A21" t="s">
        <v>19</v>
      </c>
      <c r="B21">
        <v>0</v>
      </c>
      <c r="C21">
        <v>0</v>
      </c>
      <c r="D21">
        <v>0</v>
      </c>
      <c r="E21" s="4" t="str">
        <f t="shared" si="0"/>
        <v>-</v>
      </c>
      <c r="F21" s="4" t="str">
        <f t="shared" si="1"/>
        <v>-</v>
      </c>
      <c r="G21" s="11" t="str">
        <f t="shared" si="2"/>
        <v>-</v>
      </c>
    </row>
    <row r="22" spans="1:7" x14ac:dyDescent="0.55000000000000004">
      <c r="A22" t="s">
        <v>20</v>
      </c>
      <c r="B22">
        <v>0</v>
      </c>
      <c r="C22">
        <v>0</v>
      </c>
      <c r="D22">
        <v>0</v>
      </c>
      <c r="E22" s="4" t="str">
        <f t="shared" si="0"/>
        <v>-</v>
      </c>
      <c r="F22" s="4" t="str">
        <f t="shared" si="1"/>
        <v>-</v>
      </c>
      <c r="G22" s="11" t="str">
        <f t="shared" si="2"/>
        <v>-</v>
      </c>
    </row>
    <row r="23" spans="1:7" x14ac:dyDescent="0.55000000000000004">
      <c r="A23" t="s">
        <v>21</v>
      </c>
      <c r="B23">
        <v>0</v>
      </c>
      <c r="C23">
        <v>0</v>
      </c>
      <c r="D23">
        <v>0</v>
      </c>
      <c r="E23" s="4" t="str">
        <f t="shared" si="0"/>
        <v>-</v>
      </c>
      <c r="F23" s="4" t="str">
        <f t="shared" si="1"/>
        <v>-</v>
      </c>
      <c r="G23" s="11" t="str">
        <f t="shared" si="2"/>
        <v>-</v>
      </c>
    </row>
    <row r="24" spans="1:7" x14ac:dyDescent="0.55000000000000004">
      <c r="A24" t="s">
        <v>22</v>
      </c>
      <c r="B24">
        <v>0</v>
      </c>
      <c r="C24">
        <v>0</v>
      </c>
      <c r="D24">
        <v>0</v>
      </c>
      <c r="E24" s="4" t="str">
        <f t="shared" si="0"/>
        <v>-</v>
      </c>
      <c r="F24" s="4" t="str">
        <f t="shared" si="1"/>
        <v>-</v>
      </c>
      <c r="G24" s="11" t="str">
        <f t="shared" si="2"/>
        <v>-</v>
      </c>
    </row>
    <row r="25" spans="1:7" x14ac:dyDescent="0.55000000000000004">
      <c r="A25" t="s">
        <v>23</v>
      </c>
      <c r="B25">
        <v>0</v>
      </c>
      <c r="C25">
        <v>0</v>
      </c>
      <c r="D25">
        <v>0</v>
      </c>
      <c r="E25" s="4" t="str">
        <f t="shared" si="0"/>
        <v>-</v>
      </c>
      <c r="F25" s="4" t="str">
        <f t="shared" si="1"/>
        <v>-</v>
      </c>
      <c r="G25" s="11" t="str">
        <f t="shared" si="2"/>
        <v>-</v>
      </c>
    </row>
    <row r="26" spans="1:7" x14ac:dyDescent="0.55000000000000004">
      <c r="A26" t="s">
        <v>24</v>
      </c>
      <c r="B26">
        <v>0</v>
      </c>
      <c r="C26">
        <v>0</v>
      </c>
      <c r="D26">
        <v>0</v>
      </c>
      <c r="E26" s="4" t="str">
        <f t="shared" si="0"/>
        <v>-</v>
      </c>
      <c r="F26" s="4" t="str">
        <f t="shared" si="1"/>
        <v>-</v>
      </c>
      <c r="G26" s="11" t="str">
        <f t="shared" si="2"/>
        <v>-</v>
      </c>
    </row>
    <row r="27" spans="1:7" x14ac:dyDescent="0.55000000000000004">
      <c r="A27" t="s">
        <v>25</v>
      </c>
      <c r="B27">
        <v>0</v>
      </c>
      <c r="C27">
        <v>0</v>
      </c>
      <c r="D27">
        <v>0</v>
      </c>
      <c r="E27" s="4" t="str">
        <f t="shared" si="0"/>
        <v>-</v>
      </c>
      <c r="F27" s="4" t="str">
        <f t="shared" si="1"/>
        <v>-</v>
      </c>
      <c r="G27" s="11" t="str">
        <f t="shared" si="2"/>
        <v>-</v>
      </c>
    </row>
    <row r="28" spans="1:7" x14ac:dyDescent="0.55000000000000004">
      <c r="A28" t="s">
        <v>26</v>
      </c>
      <c r="B28">
        <v>0</v>
      </c>
      <c r="C28">
        <v>0</v>
      </c>
      <c r="D28">
        <v>0</v>
      </c>
      <c r="E28" s="4" t="str">
        <f t="shared" si="0"/>
        <v>-</v>
      </c>
      <c r="F28" s="4" t="str">
        <f t="shared" si="1"/>
        <v>-</v>
      </c>
      <c r="G28" s="11" t="str">
        <f t="shared" si="2"/>
        <v>-</v>
      </c>
    </row>
    <row r="29" spans="1:7" x14ac:dyDescent="0.55000000000000004">
      <c r="A29" t="s">
        <v>27</v>
      </c>
      <c r="B29">
        <v>0</v>
      </c>
      <c r="C29">
        <v>0</v>
      </c>
      <c r="D29">
        <v>0</v>
      </c>
      <c r="E29" s="4" t="str">
        <f t="shared" si="0"/>
        <v>-</v>
      </c>
      <c r="F29" s="4" t="str">
        <f t="shared" si="1"/>
        <v>-</v>
      </c>
      <c r="G29" s="11" t="str">
        <f t="shared" si="2"/>
        <v>-</v>
      </c>
    </row>
    <row r="30" spans="1:7" x14ac:dyDescent="0.55000000000000004">
      <c r="A30" t="s">
        <v>28</v>
      </c>
      <c r="B30">
        <v>0</v>
      </c>
      <c r="C30">
        <v>0</v>
      </c>
      <c r="D30">
        <v>0</v>
      </c>
      <c r="E30" s="4" t="str">
        <f t="shared" si="0"/>
        <v>-</v>
      </c>
      <c r="F30" s="4" t="str">
        <f t="shared" si="1"/>
        <v>-</v>
      </c>
      <c r="G30" s="11" t="str">
        <f t="shared" si="2"/>
        <v>-</v>
      </c>
    </row>
    <row r="31" spans="1:7" x14ac:dyDescent="0.55000000000000004">
      <c r="A31" t="s">
        <v>29</v>
      </c>
      <c r="B31">
        <v>0</v>
      </c>
      <c r="C31">
        <v>0</v>
      </c>
      <c r="D31">
        <v>0</v>
      </c>
      <c r="E31" s="4" t="str">
        <f t="shared" si="0"/>
        <v>-</v>
      </c>
      <c r="F31" s="4" t="str">
        <f t="shared" si="1"/>
        <v>-</v>
      </c>
      <c r="G31" s="11" t="str">
        <f t="shared" si="2"/>
        <v>-</v>
      </c>
    </row>
    <row r="32" spans="1:7" x14ac:dyDescent="0.55000000000000004">
      <c r="A32" t="s">
        <v>30</v>
      </c>
      <c r="B32">
        <v>0</v>
      </c>
      <c r="C32">
        <v>0</v>
      </c>
      <c r="D32">
        <v>0</v>
      </c>
      <c r="E32" s="4" t="str">
        <f t="shared" si="0"/>
        <v>-</v>
      </c>
      <c r="F32" s="4" t="str">
        <f t="shared" si="1"/>
        <v>-</v>
      </c>
      <c r="G32" s="11" t="str">
        <f t="shared" si="2"/>
        <v>-</v>
      </c>
    </row>
    <row r="33" spans="1:7" x14ac:dyDescent="0.55000000000000004">
      <c r="A33" t="s">
        <v>31</v>
      </c>
      <c r="B33">
        <v>0</v>
      </c>
      <c r="C33">
        <v>0</v>
      </c>
      <c r="D33">
        <v>0</v>
      </c>
      <c r="E33" s="4" t="str">
        <f t="shared" si="0"/>
        <v>-</v>
      </c>
      <c r="F33" s="4" t="str">
        <f t="shared" si="1"/>
        <v>-</v>
      </c>
      <c r="G33" s="11" t="str">
        <f t="shared" si="2"/>
        <v>-</v>
      </c>
    </row>
    <row r="34" spans="1:7" x14ac:dyDescent="0.55000000000000004">
      <c r="A34" t="s">
        <v>32</v>
      </c>
      <c r="B34">
        <v>0</v>
      </c>
      <c r="C34">
        <v>0</v>
      </c>
      <c r="D34">
        <v>0</v>
      </c>
      <c r="E34" s="4" t="str">
        <f t="shared" ref="E34:E65" si="3">IF($D34=0, "-",B34/$D34)</f>
        <v>-</v>
      </c>
      <c r="F34" s="4" t="str">
        <f t="shared" ref="F34:F65" si="4">IF($D34=0, "-",C34/$D34)</f>
        <v>-</v>
      </c>
      <c r="G34" s="11" t="str">
        <f t="shared" ref="G34:G65" si="5">IF(E34="-", "-", E34+F34-13)</f>
        <v>-</v>
      </c>
    </row>
    <row r="35" spans="1:7" x14ac:dyDescent="0.55000000000000004">
      <c r="A35" t="s">
        <v>33</v>
      </c>
      <c r="B35">
        <v>0</v>
      </c>
      <c r="C35">
        <v>0</v>
      </c>
      <c r="D35">
        <v>0</v>
      </c>
      <c r="E35" s="4" t="str">
        <f t="shared" si="3"/>
        <v>-</v>
      </c>
      <c r="F35" s="4" t="str">
        <f t="shared" si="4"/>
        <v>-</v>
      </c>
      <c r="G35" s="11" t="str">
        <f t="shared" si="5"/>
        <v>-</v>
      </c>
    </row>
    <row r="36" spans="1:7" x14ac:dyDescent="0.55000000000000004">
      <c r="A36" t="s">
        <v>34</v>
      </c>
      <c r="B36">
        <v>0</v>
      </c>
      <c r="C36">
        <v>0</v>
      </c>
      <c r="D36">
        <v>0</v>
      </c>
      <c r="E36" s="4" t="str">
        <f t="shared" si="3"/>
        <v>-</v>
      </c>
      <c r="F36" s="4" t="str">
        <f t="shared" si="4"/>
        <v>-</v>
      </c>
      <c r="G36" s="11" t="str">
        <f t="shared" si="5"/>
        <v>-</v>
      </c>
    </row>
    <row r="37" spans="1:7" x14ac:dyDescent="0.55000000000000004">
      <c r="A37" t="s">
        <v>35</v>
      </c>
      <c r="B37">
        <v>0</v>
      </c>
      <c r="C37">
        <v>0</v>
      </c>
      <c r="D37">
        <v>0</v>
      </c>
      <c r="E37" s="4" t="str">
        <f t="shared" si="3"/>
        <v>-</v>
      </c>
      <c r="F37" s="4" t="str">
        <f t="shared" si="4"/>
        <v>-</v>
      </c>
      <c r="G37" s="11" t="str">
        <f t="shared" si="5"/>
        <v>-</v>
      </c>
    </row>
    <row r="38" spans="1:7" x14ac:dyDescent="0.55000000000000004">
      <c r="A38" t="s">
        <v>36</v>
      </c>
      <c r="B38">
        <v>0</v>
      </c>
      <c r="C38">
        <v>0</v>
      </c>
      <c r="D38">
        <v>0</v>
      </c>
      <c r="E38" s="4" t="str">
        <f t="shared" si="3"/>
        <v>-</v>
      </c>
      <c r="F38" s="4" t="str">
        <f t="shared" si="4"/>
        <v>-</v>
      </c>
      <c r="G38" s="11" t="str">
        <f t="shared" si="5"/>
        <v>-</v>
      </c>
    </row>
    <row r="39" spans="1:7" x14ac:dyDescent="0.55000000000000004">
      <c r="A39" t="s">
        <v>37</v>
      </c>
      <c r="B39">
        <v>0</v>
      </c>
      <c r="C39">
        <v>0</v>
      </c>
      <c r="D39">
        <v>0</v>
      </c>
      <c r="E39" s="4" t="str">
        <f t="shared" si="3"/>
        <v>-</v>
      </c>
      <c r="F39" s="4" t="str">
        <f t="shared" si="4"/>
        <v>-</v>
      </c>
      <c r="G39" s="11" t="str">
        <f t="shared" si="5"/>
        <v>-</v>
      </c>
    </row>
    <row r="40" spans="1:7" x14ac:dyDescent="0.55000000000000004">
      <c r="A40" t="s">
        <v>38</v>
      </c>
      <c r="B40">
        <v>0</v>
      </c>
      <c r="C40">
        <v>0</v>
      </c>
      <c r="D40">
        <v>0</v>
      </c>
      <c r="E40" s="4" t="str">
        <f t="shared" si="3"/>
        <v>-</v>
      </c>
      <c r="F40" s="4" t="str">
        <f t="shared" si="4"/>
        <v>-</v>
      </c>
      <c r="G40" s="11" t="str">
        <f t="shared" si="5"/>
        <v>-</v>
      </c>
    </row>
    <row r="41" spans="1:7" x14ac:dyDescent="0.55000000000000004">
      <c r="A41" t="s">
        <v>39</v>
      </c>
      <c r="B41">
        <v>0</v>
      </c>
      <c r="C41">
        <v>0</v>
      </c>
      <c r="D41">
        <v>0</v>
      </c>
      <c r="E41" s="4" t="str">
        <f t="shared" si="3"/>
        <v>-</v>
      </c>
      <c r="F41" s="4" t="str">
        <f t="shared" si="4"/>
        <v>-</v>
      </c>
      <c r="G41" s="11" t="str">
        <f t="shared" si="5"/>
        <v>-</v>
      </c>
    </row>
    <row r="42" spans="1:7" x14ac:dyDescent="0.55000000000000004">
      <c r="A42" t="s">
        <v>40</v>
      </c>
      <c r="B42">
        <v>0</v>
      </c>
      <c r="C42">
        <v>0</v>
      </c>
      <c r="D42">
        <v>0</v>
      </c>
      <c r="E42" s="4" t="str">
        <f t="shared" si="3"/>
        <v>-</v>
      </c>
      <c r="F42" s="4" t="str">
        <f t="shared" si="4"/>
        <v>-</v>
      </c>
      <c r="G42" s="11" t="str">
        <f t="shared" si="5"/>
        <v>-</v>
      </c>
    </row>
    <row r="43" spans="1:7" x14ac:dyDescent="0.55000000000000004">
      <c r="A43" t="s">
        <v>41</v>
      </c>
      <c r="B43">
        <v>0</v>
      </c>
      <c r="C43">
        <v>0</v>
      </c>
      <c r="D43">
        <v>0</v>
      </c>
      <c r="E43" s="4" t="str">
        <f t="shared" si="3"/>
        <v>-</v>
      </c>
      <c r="F43" s="4" t="str">
        <f t="shared" si="4"/>
        <v>-</v>
      </c>
      <c r="G43" s="11" t="str">
        <f t="shared" si="5"/>
        <v>-</v>
      </c>
    </row>
    <row r="44" spans="1:7" x14ac:dyDescent="0.55000000000000004">
      <c r="A44" t="s">
        <v>42</v>
      </c>
      <c r="B44">
        <v>0</v>
      </c>
      <c r="C44">
        <v>0</v>
      </c>
      <c r="D44">
        <v>0</v>
      </c>
      <c r="E44" s="4" t="str">
        <f t="shared" si="3"/>
        <v>-</v>
      </c>
      <c r="F44" s="4" t="str">
        <f t="shared" si="4"/>
        <v>-</v>
      </c>
      <c r="G44" s="11" t="str">
        <f t="shared" si="5"/>
        <v>-</v>
      </c>
    </row>
    <row r="45" spans="1:7" x14ac:dyDescent="0.55000000000000004">
      <c r="A45" t="s">
        <v>43</v>
      </c>
      <c r="B45">
        <v>0</v>
      </c>
      <c r="C45">
        <v>0</v>
      </c>
      <c r="D45">
        <v>0</v>
      </c>
      <c r="E45" s="4" t="str">
        <f t="shared" si="3"/>
        <v>-</v>
      </c>
      <c r="F45" s="4" t="str">
        <f t="shared" si="4"/>
        <v>-</v>
      </c>
      <c r="G45" s="11" t="str">
        <f t="shared" si="5"/>
        <v>-</v>
      </c>
    </row>
    <row r="46" spans="1:7" x14ac:dyDescent="0.55000000000000004">
      <c r="A46" t="s">
        <v>44</v>
      </c>
      <c r="B46">
        <v>0</v>
      </c>
      <c r="C46">
        <v>0</v>
      </c>
      <c r="D46">
        <v>0</v>
      </c>
      <c r="E46" s="4" t="str">
        <f t="shared" si="3"/>
        <v>-</v>
      </c>
      <c r="F46" s="4" t="str">
        <f t="shared" si="4"/>
        <v>-</v>
      </c>
      <c r="G46" s="11" t="str">
        <f t="shared" si="5"/>
        <v>-</v>
      </c>
    </row>
    <row r="47" spans="1:7" x14ac:dyDescent="0.55000000000000004">
      <c r="A47" t="s">
        <v>45</v>
      </c>
      <c r="B47">
        <v>0</v>
      </c>
      <c r="C47">
        <v>0</v>
      </c>
      <c r="D47">
        <v>0</v>
      </c>
      <c r="E47" s="4" t="str">
        <f t="shared" si="3"/>
        <v>-</v>
      </c>
      <c r="F47" s="4" t="str">
        <f t="shared" si="4"/>
        <v>-</v>
      </c>
      <c r="G47" s="11" t="str">
        <f t="shared" si="5"/>
        <v>-</v>
      </c>
    </row>
    <row r="48" spans="1:7" x14ac:dyDescent="0.55000000000000004">
      <c r="A48" t="s">
        <v>46</v>
      </c>
      <c r="B48">
        <v>0</v>
      </c>
      <c r="C48">
        <v>0</v>
      </c>
      <c r="D48">
        <v>0</v>
      </c>
      <c r="E48" s="4" t="str">
        <f t="shared" si="3"/>
        <v>-</v>
      </c>
      <c r="F48" s="4" t="str">
        <f t="shared" si="4"/>
        <v>-</v>
      </c>
      <c r="G48" s="11" t="str">
        <f t="shared" si="5"/>
        <v>-</v>
      </c>
    </row>
    <row r="49" spans="1:7" x14ac:dyDescent="0.55000000000000004">
      <c r="A49" t="s">
        <v>47</v>
      </c>
      <c r="B49">
        <v>0</v>
      </c>
      <c r="C49">
        <v>0</v>
      </c>
      <c r="D49">
        <v>0</v>
      </c>
      <c r="E49" s="4" t="str">
        <f t="shared" si="3"/>
        <v>-</v>
      </c>
      <c r="F49" s="4" t="str">
        <f t="shared" si="4"/>
        <v>-</v>
      </c>
      <c r="G49" s="11" t="str">
        <f t="shared" si="5"/>
        <v>-</v>
      </c>
    </row>
    <row r="50" spans="1:7" x14ac:dyDescent="0.55000000000000004">
      <c r="A50" t="s">
        <v>48</v>
      </c>
      <c r="B50">
        <v>0</v>
      </c>
      <c r="C50">
        <v>0</v>
      </c>
      <c r="D50">
        <v>0</v>
      </c>
      <c r="E50" s="4" t="str">
        <f t="shared" si="3"/>
        <v>-</v>
      </c>
      <c r="F50" s="4" t="str">
        <f t="shared" si="4"/>
        <v>-</v>
      </c>
      <c r="G50" s="11" t="str">
        <f t="shared" si="5"/>
        <v>-</v>
      </c>
    </row>
    <row r="51" spans="1:7" x14ac:dyDescent="0.55000000000000004">
      <c r="A51" t="s">
        <v>49</v>
      </c>
      <c r="B51">
        <v>0</v>
      </c>
      <c r="C51">
        <v>0</v>
      </c>
      <c r="D51">
        <v>0</v>
      </c>
      <c r="E51" s="4" t="str">
        <f t="shared" si="3"/>
        <v>-</v>
      </c>
      <c r="F51" s="4" t="str">
        <f t="shared" si="4"/>
        <v>-</v>
      </c>
      <c r="G51" s="11" t="str">
        <f t="shared" si="5"/>
        <v>-</v>
      </c>
    </row>
    <row r="52" spans="1:7" x14ac:dyDescent="0.55000000000000004">
      <c r="A52" t="s">
        <v>50</v>
      </c>
      <c r="B52">
        <v>0</v>
      </c>
      <c r="C52">
        <v>0</v>
      </c>
      <c r="D52">
        <v>0</v>
      </c>
      <c r="E52" s="4" t="str">
        <f t="shared" si="3"/>
        <v>-</v>
      </c>
      <c r="F52" s="4" t="str">
        <f t="shared" si="4"/>
        <v>-</v>
      </c>
      <c r="G52" s="11" t="str">
        <f t="shared" si="5"/>
        <v>-</v>
      </c>
    </row>
    <row r="53" spans="1:7" x14ac:dyDescent="0.55000000000000004">
      <c r="A53" t="s">
        <v>51</v>
      </c>
      <c r="B53">
        <v>0</v>
      </c>
      <c r="C53">
        <v>0</v>
      </c>
      <c r="D53">
        <v>0</v>
      </c>
      <c r="E53" s="4" t="str">
        <f t="shared" si="3"/>
        <v>-</v>
      </c>
      <c r="F53" s="4" t="str">
        <f t="shared" si="4"/>
        <v>-</v>
      </c>
      <c r="G53" s="11" t="str">
        <f t="shared" si="5"/>
        <v>-</v>
      </c>
    </row>
    <row r="54" spans="1:7" x14ac:dyDescent="0.55000000000000004">
      <c r="A54" t="s">
        <v>52</v>
      </c>
      <c r="B54">
        <v>0</v>
      </c>
      <c r="C54">
        <v>0</v>
      </c>
      <c r="D54">
        <v>0</v>
      </c>
      <c r="E54" s="4" t="str">
        <f t="shared" si="3"/>
        <v>-</v>
      </c>
      <c r="F54" s="4" t="str">
        <f t="shared" si="4"/>
        <v>-</v>
      </c>
      <c r="G54" s="11" t="str">
        <f t="shared" si="5"/>
        <v>-</v>
      </c>
    </row>
    <row r="55" spans="1:7" x14ac:dyDescent="0.55000000000000004">
      <c r="A55" t="s">
        <v>53</v>
      </c>
      <c r="B55">
        <v>0</v>
      </c>
      <c r="C55">
        <v>0</v>
      </c>
      <c r="D55">
        <v>0</v>
      </c>
      <c r="E55" s="4" t="str">
        <f t="shared" si="3"/>
        <v>-</v>
      </c>
      <c r="F55" s="4" t="str">
        <f t="shared" si="4"/>
        <v>-</v>
      </c>
      <c r="G55" s="11" t="str">
        <f t="shared" si="5"/>
        <v>-</v>
      </c>
    </row>
    <row r="56" spans="1:7" x14ac:dyDescent="0.55000000000000004">
      <c r="A56" t="s">
        <v>54</v>
      </c>
      <c r="B56">
        <v>0</v>
      </c>
      <c r="C56">
        <v>0</v>
      </c>
      <c r="D56">
        <v>0</v>
      </c>
      <c r="E56" s="4" t="str">
        <f t="shared" si="3"/>
        <v>-</v>
      </c>
      <c r="F56" s="4" t="str">
        <f t="shared" si="4"/>
        <v>-</v>
      </c>
      <c r="G56" s="11" t="str">
        <f t="shared" si="5"/>
        <v>-</v>
      </c>
    </row>
    <row r="57" spans="1:7" x14ac:dyDescent="0.55000000000000004">
      <c r="A57" t="s">
        <v>55</v>
      </c>
      <c r="B57">
        <v>0</v>
      </c>
      <c r="C57">
        <v>0</v>
      </c>
      <c r="D57">
        <v>0</v>
      </c>
      <c r="E57" s="4" t="str">
        <f t="shared" si="3"/>
        <v>-</v>
      </c>
      <c r="F57" s="4" t="str">
        <f t="shared" si="4"/>
        <v>-</v>
      </c>
      <c r="G57" s="11" t="str">
        <f t="shared" si="5"/>
        <v>-</v>
      </c>
    </row>
    <row r="58" spans="1:7" x14ac:dyDescent="0.55000000000000004">
      <c r="A58" t="s">
        <v>138</v>
      </c>
      <c r="B58">
        <v>0</v>
      </c>
      <c r="C58">
        <v>0</v>
      </c>
      <c r="D58">
        <v>0</v>
      </c>
      <c r="E58" s="4" t="str">
        <f t="shared" si="3"/>
        <v>-</v>
      </c>
      <c r="F58" s="4" t="str">
        <f t="shared" si="4"/>
        <v>-</v>
      </c>
      <c r="G58" s="11" t="str">
        <f t="shared" si="5"/>
        <v>-</v>
      </c>
    </row>
    <row r="59" spans="1:7" x14ac:dyDescent="0.55000000000000004">
      <c r="A59" t="s">
        <v>139</v>
      </c>
      <c r="B59">
        <v>0</v>
      </c>
      <c r="C59">
        <v>0</v>
      </c>
      <c r="D59">
        <v>0</v>
      </c>
      <c r="E59" s="4" t="str">
        <f t="shared" si="3"/>
        <v>-</v>
      </c>
      <c r="F59" s="4" t="str">
        <f t="shared" si="4"/>
        <v>-</v>
      </c>
      <c r="G59" s="11" t="str">
        <f t="shared" si="5"/>
        <v>-</v>
      </c>
    </row>
    <row r="60" spans="1:7" x14ac:dyDescent="0.55000000000000004">
      <c r="A60" t="s">
        <v>140</v>
      </c>
      <c r="B60">
        <v>0</v>
      </c>
      <c r="C60">
        <v>0</v>
      </c>
      <c r="D60">
        <v>0</v>
      </c>
      <c r="E60" s="4" t="str">
        <f t="shared" si="3"/>
        <v>-</v>
      </c>
      <c r="F60" s="4" t="str">
        <f t="shared" si="4"/>
        <v>-</v>
      </c>
      <c r="G60" s="11" t="str">
        <f t="shared" si="5"/>
        <v>-</v>
      </c>
    </row>
    <row r="61" spans="1:7" x14ac:dyDescent="0.55000000000000004">
      <c r="A61" t="s">
        <v>141</v>
      </c>
      <c r="B61">
        <v>0</v>
      </c>
      <c r="C61">
        <v>0</v>
      </c>
      <c r="D61">
        <v>0</v>
      </c>
      <c r="E61" s="4" t="str">
        <f t="shared" si="3"/>
        <v>-</v>
      </c>
      <c r="F61" s="4" t="str">
        <f t="shared" si="4"/>
        <v>-</v>
      </c>
      <c r="G61" s="11" t="str">
        <f t="shared" si="5"/>
        <v>-</v>
      </c>
    </row>
    <row r="62" spans="1:7" x14ac:dyDescent="0.55000000000000004">
      <c r="A62" t="s">
        <v>142</v>
      </c>
      <c r="B62">
        <v>0</v>
      </c>
      <c r="C62">
        <v>0</v>
      </c>
      <c r="D62">
        <v>0</v>
      </c>
      <c r="E62" s="4" t="str">
        <f t="shared" si="3"/>
        <v>-</v>
      </c>
      <c r="F62" s="4" t="str">
        <f t="shared" si="4"/>
        <v>-</v>
      </c>
      <c r="G62" s="11" t="str">
        <f t="shared" si="5"/>
        <v>-</v>
      </c>
    </row>
    <row r="63" spans="1:7" x14ac:dyDescent="0.55000000000000004">
      <c r="A63" t="s">
        <v>143</v>
      </c>
      <c r="B63">
        <v>0</v>
      </c>
      <c r="C63">
        <v>0</v>
      </c>
      <c r="D63">
        <v>0</v>
      </c>
      <c r="E63" s="4" t="str">
        <f t="shared" si="3"/>
        <v>-</v>
      </c>
      <c r="F63" s="4" t="str">
        <f t="shared" si="4"/>
        <v>-</v>
      </c>
      <c r="G63" s="11" t="str">
        <f t="shared" si="5"/>
        <v>-</v>
      </c>
    </row>
    <row r="64" spans="1:7" x14ac:dyDescent="0.55000000000000004">
      <c r="A64" t="s">
        <v>144</v>
      </c>
      <c r="B64">
        <v>0</v>
      </c>
      <c r="C64">
        <v>0</v>
      </c>
      <c r="D64">
        <v>0</v>
      </c>
      <c r="E64" s="4" t="str">
        <f t="shared" si="3"/>
        <v>-</v>
      </c>
      <c r="F64" s="4" t="str">
        <f t="shared" si="4"/>
        <v>-</v>
      </c>
      <c r="G64" s="11" t="str">
        <f t="shared" si="5"/>
        <v>-</v>
      </c>
    </row>
    <row r="65" spans="1:7" x14ac:dyDescent="0.55000000000000004">
      <c r="A65" t="s">
        <v>145</v>
      </c>
      <c r="B65">
        <v>0</v>
      </c>
      <c r="C65">
        <v>0</v>
      </c>
      <c r="D65">
        <v>0</v>
      </c>
      <c r="E65" s="4" t="str">
        <f t="shared" si="3"/>
        <v>-</v>
      </c>
      <c r="F65" s="4" t="str">
        <f t="shared" si="4"/>
        <v>-</v>
      </c>
      <c r="G65" s="11" t="str">
        <f t="shared" si="5"/>
        <v>-</v>
      </c>
    </row>
  </sheetData>
  <sheetProtection selectLockedCells="1"/>
  <sortState xmlns:xlrd2="http://schemas.microsoft.com/office/spreadsheetml/2017/richdata2" ref="A2:F94">
    <sortCondition ref="A2:A97" customList="マリオカートスタジアム,ウォーターパーク,スイーツキャニオン,ドッスンいせき,マリオサーキット,キノピオハーバー,ねじれマンション,ヘイホーこうざん,サンシャイン空港,ドルフィンみさき,エレクトロドリーム,ワリオスノーマウンテン,スカイガーデン,ホネホネさばく,クッパキャッスル,レインボーロード,モーモーカントリー,GBAマリオサーキット,プクプクビーチ,キノピオハイウェイ,カラカラさばく,ドーナツへいや3,ピーチサーキット,DKジャングル,ワリオスタジアム,シャーベットランド,ミュージックパーク,ヨッシーバレー,チクタクロック,パックンスライダー,グラグラかざん,64レインボーロード,ヨッシーサーキット,エキサイトバイク,ドラゴンロード,ミュートシティ,ベビィパーク,チーズランド,ネイチャーロード,どうぶつの森,ワリオこうざん,SFCレインボーロード,ツルツルツイスター,ハイラルサーキット,ネオクッパシティ,リボンロード,リンリンメトロ,ビッグブルー,パリプロムナード,キノピオサーキット,チョコマウンテン,ココナッツモール,トーキョースクランブル,キノコリッジウェイ,GBAスカイガーデン,ニンニンドージョー,ニューヨークドリーム,SFCマリオサーキット3,64カラカラさばく,ワルイージピンボール,シドニーサンシャイン,スノーランド,キノコキャニオン,アイスビルディング"/>
  </sortState>
  <phoneticPr fontId="1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D65"/>
  <sheetViews>
    <sheetView workbookViewId="0">
      <selection activeCell="E1" sqref="E1"/>
    </sheetView>
  </sheetViews>
  <sheetFormatPr defaultRowHeight="18" x14ac:dyDescent="0.55000000000000004"/>
  <cols>
    <col min="1" max="1" width="26.83203125" customWidth="1"/>
    <col min="2" max="2" width="15.1640625" customWidth="1"/>
    <col min="3" max="3" width="8.6640625" customWidth="1"/>
  </cols>
  <sheetData>
    <row r="1" spans="1:4" s="1" customFormat="1" x14ac:dyDescent="0.55000000000000004">
      <c r="A1" s="1" t="s">
        <v>113</v>
      </c>
      <c r="B1" s="1" t="s">
        <v>114</v>
      </c>
      <c r="C1" s="1" t="s">
        <v>161</v>
      </c>
      <c r="D1" s="1" t="s">
        <v>162</v>
      </c>
    </row>
    <row r="2" spans="1:4" x14ac:dyDescent="0.55000000000000004">
      <c r="A2" t="s">
        <v>0</v>
      </c>
      <c r="B2" t="s">
        <v>56</v>
      </c>
      <c r="C2">
        <v>1</v>
      </c>
      <c r="D2">
        <v>15</v>
      </c>
    </row>
    <row r="3" spans="1:4" x14ac:dyDescent="0.55000000000000004">
      <c r="A3" t="s">
        <v>1</v>
      </c>
      <c r="B3" t="s">
        <v>57</v>
      </c>
      <c r="C3">
        <v>2</v>
      </c>
      <c r="D3">
        <v>12</v>
      </c>
    </row>
    <row r="4" spans="1:4" x14ac:dyDescent="0.55000000000000004">
      <c r="A4" t="s">
        <v>2</v>
      </c>
      <c r="B4" t="s">
        <v>58</v>
      </c>
      <c r="C4">
        <v>3</v>
      </c>
      <c r="D4">
        <v>10</v>
      </c>
    </row>
    <row r="5" spans="1:4" x14ac:dyDescent="0.55000000000000004">
      <c r="A5" t="s">
        <v>3</v>
      </c>
      <c r="B5" t="s">
        <v>59</v>
      </c>
      <c r="C5">
        <v>4</v>
      </c>
      <c r="D5">
        <v>9</v>
      </c>
    </row>
    <row r="6" spans="1:4" x14ac:dyDescent="0.55000000000000004">
      <c r="A6" t="s">
        <v>4</v>
      </c>
      <c r="B6" t="s">
        <v>60</v>
      </c>
      <c r="C6">
        <v>5</v>
      </c>
      <c r="D6">
        <v>8</v>
      </c>
    </row>
    <row r="7" spans="1:4" x14ac:dyDescent="0.55000000000000004">
      <c r="A7" t="s">
        <v>5</v>
      </c>
      <c r="B7" t="s">
        <v>61</v>
      </c>
      <c r="C7">
        <v>6</v>
      </c>
      <c r="D7">
        <v>7</v>
      </c>
    </row>
    <row r="8" spans="1:4" x14ac:dyDescent="0.55000000000000004">
      <c r="A8" t="s">
        <v>6</v>
      </c>
      <c r="B8" t="s">
        <v>62</v>
      </c>
      <c r="C8">
        <v>7</v>
      </c>
      <c r="D8">
        <v>6</v>
      </c>
    </row>
    <row r="9" spans="1:4" x14ac:dyDescent="0.55000000000000004">
      <c r="A9" t="s">
        <v>7</v>
      </c>
      <c r="B9" t="s">
        <v>63</v>
      </c>
      <c r="C9">
        <v>8</v>
      </c>
      <c r="D9">
        <v>5</v>
      </c>
    </row>
    <row r="10" spans="1:4" x14ac:dyDescent="0.55000000000000004">
      <c r="A10" t="s">
        <v>8</v>
      </c>
      <c r="B10" t="s">
        <v>64</v>
      </c>
      <c r="C10">
        <v>9</v>
      </c>
      <c r="D10">
        <v>4</v>
      </c>
    </row>
    <row r="11" spans="1:4" x14ac:dyDescent="0.55000000000000004">
      <c r="A11" t="s">
        <v>9</v>
      </c>
      <c r="B11" t="s">
        <v>65</v>
      </c>
      <c r="C11">
        <v>10</v>
      </c>
      <c r="D11">
        <v>3</v>
      </c>
    </row>
    <row r="12" spans="1:4" x14ac:dyDescent="0.55000000000000004">
      <c r="A12" t="s">
        <v>10</v>
      </c>
      <c r="B12" t="s">
        <v>66</v>
      </c>
      <c r="C12">
        <v>11</v>
      </c>
      <c r="D12">
        <v>2</v>
      </c>
    </row>
    <row r="13" spans="1:4" x14ac:dyDescent="0.55000000000000004">
      <c r="A13" t="s">
        <v>11</v>
      </c>
      <c r="B13" t="s">
        <v>67</v>
      </c>
      <c r="C13">
        <v>12</v>
      </c>
      <c r="D13">
        <v>1</v>
      </c>
    </row>
    <row r="14" spans="1:4" x14ac:dyDescent="0.55000000000000004">
      <c r="A14" t="s">
        <v>12</v>
      </c>
      <c r="B14" t="s">
        <v>68</v>
      </c>
    </row>
    <row r="15" spans="1:4" x14ac:dyDescent="0.55000000000000004">
      <c r="A15" t="s">
        <v>13</v>
      </c>
      <c r="B15" t="s">
        <v>69</v>
      </c>
    </row>
    <row r="16" spans="1:4" x14ac:dyDescent="0.55000000000000004">
      <c r="A16" t="s">
        <v>14</v>
      </c>
      <c r="B16" t="s">
        <v>70</v>
      </c>
    </row>
    <row r="17" spans="1:2" x14ac:dyDescent="0.55000000000000004">
      <c r="A17" t="s">
        <v>15</v>
      </c>
      <c r="B17" t="s">
        <v>71</v>
      </c>
    </row>
    <row r="18" spans="1:2" x14ac:dyDescent="0.55000000000000004">
      <c r="A18" t="s">
        <v>16</v>
      </c>
      <c r="B18" t="s">
        <v>72</v>
      </c>
    </row>
    <row r="19" spans="1:2" x14ac:dyDescent="0.55000000000000004">
      <c r="A19" t="s">
        <v>17</v>
      </c>
      <c r="B19" t="s">
        <v>73</v>
      </c>
    </row>
    <row r="20" spans="1:2" x14ac:dyDescent="0.55000000000000004">
      <c r="A20" t="s">
        <v>18</v>
      </c>
      <c r="B20" t="s">
        <v>74</v>
      </c>
    </row>
    <row r="21" spans="1:2" x14ac:dyDescent="0.55000000000000004">
      <c r="A21" t="s">
        <v>19</v>
      </c>
      <c r="B21" t="s">
        <v>75</v>
      </c>
    </row>
    <row r="22" spans="1:2" x14ac:dyDescent="0.55000000000000004">
      <c r="A22" t="s">
        <v>20</v>
      </c>
      <c r="B22" t="s">
        <v>76</v>
      </c>
    </row>
    <row r="23" spans="1:2" x14ac:dyDescent="0.55000000000000004">
      <c r="A23" t="s">
        <v>21</v>
      </c>
      <c r="B23" t="s">
        <v>77</v>
      </c>
    </row>
    <row r="24" spans="1:2" x14ac:dyDescent="0.55000000000000004">
      <c r="A24" t="s">
        <v>22</v>
      </c>
      <c r="B24" t="s">
        <v>78</v>
      </c>
    </row>
    <row r="25" spans="1:2" x14ac:dyDescent="0.55000000000000004">
      <c r="A25" t="s">
        <v>23</v>
      </c>
      <c r="B25" t="s">
        <v>79</v>
      </c>
    </row>
    <row r="26" spans="1:2" x14ac:dyDescent="0.55000000000000004">
      <c r="A26" t="s">
        <v>24</v>
      </c>
      <c r="B26" t="s">
        <v>80</v>
      </c>
    </row>
    <row r="27" spans="1:2" x14ac:dyDescent="0.55000000000000004">
      <c r="A27" t="s">
        <v>25</v>
      </c>
      <c r="B27" t="s">
        <v>81</v>
      </c>
    </row>
    <row r="28" spans="1:2" x14ac:dyDescent="0.55000000000000004">
      <c r="A28" t="s">
        <v>26</v>
      </c>
      <c r="B28" t="s">
        <v>82</v>
      </c>
    </row>
    <row r="29" spans="1:2" x14ac:dyDescent="0.55000000000000004">
      <c r="A29" t="s">
        <v>27</v>
      </c>
      <c r="B29" t="s">
        <v>83</v>
      </c>
    </row>
    <row r="30" spans="1:2" x14ac:dyDescent="0.55000000000000004">
      <c r="A30" t="s">
        <v>28</v>
      </c>
      <c r="B30" t="s">
        <v>84</v>
      </c>
    </row>
    <row r="31" spans="1:2" x14ac:dyDescent="0.55000000000000004">
      <c r="A31" t="s">
        <v>29</v>
      </c>
      <c r="B31" t="s">
        <v>85</v>
      </c>
    </row>
    <row r="32" spans="1:2" x14ac:dyDescent="0.55000000000000004">
      <c r="A32" t="s">
        <v>30</v>
      </c>
      <c r="B32" t="s">
        <v>86</v>
      </c>
    </row>
    <row r="33" spans="1:2" x14ac:dyDescent="0.55000000000000004">
      <c r="A33" t="s">
        <v>31</v>
      </c>
      <c r="B33" t="s">
        <v>87</v>
      </c>
    </row>
    <row r="34" spans="1:2" x14ac:dyDescent="0.55000000000000004">
      <c r="A34" t="s">
        <v>32</v>
      </c>
      <c r="B34" t="s">
        <v>88</v>
      </c>
    </row>
    <row r="35" spans="1:2" x14ac:dyDescent="0.55000000000000004">
      <c r="A35" t="s">
        <v>33</v>
      </c>
      <c r="B35" t="s">
        <v>89</v>
      </c>
    </row>
    <row r="36" spans="1:2" x14ac:dyDescent="0.55000000000000004">
      <c r="A36" t="s">
        <v>34</v>
      </c>
      <c r="B36" t="s">
        <v>90</v>
      </c>
    </row>
    <row r="37" spans="1:2" x14ac:dyDescent="0.55000000000000004">
      <c r="A37" t="s">
        <v>35</v>
      </c>
      <c r="B37" t="s">
        <v>91</v>
      </c>
    </row>
    <row r="38" spans="1:2" x14ac:dyDescent="0.55000000000000004">
      <c r="A38" t="s">
        <v>36</v>
      </c>
      <c r="B38" t="s">
        <v>94</v>
      </c>
    </row>
    <row r="39" spans="1:2" x14ac:dyDescent="0.55000000000000004">
      <c r="A39" t="s">
        <v>37</v>
      </c>
      <c r="B39" t="s">
        <v>95</v>
      </c>
    </row>
    <row r="40" spans="1:2" x14ac:dyDescent="0.55000000000000004">
      <c r="A40" t="s">
        <v>38</v>
      </c>
      <c r="B40" t="s">
        <v>96</v>
      </c>
    </row>
    <row r="41" spans="1:2" x14ac:dyDescent="0.55000000000000004">
      <c r="A41" t="s">
        <v>39</v>
      </c>
      <c r="B41" t="s">
        <v>97</v>
      </c>
    </row>
    <row r="42" spans="1:2" x14ac:dyDescent="0.55000000000000004">
      <c r="A42" t="s">
        <v>40</v>
      </c>
      <c r="B42" t="s">
        <v>92</v>
      </c>
    </row>
    <row r="43" spans="1:2" x14ac:dyDescent="0.55000000000000004">
      <c r="A43" t="s">
        <v>41</v>
      </c>
      <c r="B43" t="s">
        <v>93</v>
      </c>
    </row>
    <row r="44" spans="1:2" x14ac:dyDescent="0.55000000000000004">
      <c r="A44" t="s">
        <v>42</v>
      </c>
      <c r="B44" t="s">
        <v>98</v>
      </c>
    </row>
    <row r="45" spans="1:2" x14ac:dyDescent="0.55000000000000004">
      <c r="A45" t="s">
        <v>43</v>
      </c>
      <c r="B45" t="s">
        <v>99</v>
      </c>
    </row>
    <row r="46" spans="1:2" x14ac:dyDescent="0.55000000000000004">
      <c r="A46" t="s">
        <v>44</v>
      </c>
      <c r="B46" t="s">
        <v>100</v>
      </c>
    </row>
    <row r="47" spans="1:2" x14ac:dyDescent="0.55000000000000004">
      <c r="A47" t="s">
        <v>45</v>
      </c>
      <c r="B47" t="s">
        <v>101</v>
      </c>
    </row>
    <row r="48" spans="1:2" x14ac:dyDescent="0.55000000000000004">
      <c r="A48" t="s">
        <v>46</v>
      </c>
      <c r="B48" t="s">
        <v>102</v>
      </c>
    </row>
    <row r="49" spans="1:2" x14ac:dyDescent="0.55000000000000004">
      <c r="A49" t="s">
        <v>47</v>
      </c>
      <c r="B49" t="s">
        <v>103</v>
      </c>
    </row>
    <row r="50" spans="1:2" x14ac:dyDescent="0.55000000000000004">
      <c r="A50" t="s">
        <v>48</v>
      </c>
      <c r="B50" t="s">
        <v>104</v>
      </c>
    </row>
    <row r="51" spans="1:2" x14ac:dyDescent="0.55000000000000004">
      <c r="A51" t="s">
        <v>49</v>
      </c>
      <c r="B51" t="s">
        <v>105</v>
      </c>
    </row>
    <row r="52" spans="1:2" x14ac:dyDescent="0.55000000000000004">
      <c r="A52" t="s">
        <v>50</v>
      </c>
      <c r="B52" t="s">
        <v>107</v>
      </c>
    </row>
    <row r="53" spans="1:2" x14ac:dyDescent="0.55000000000000004">
      <c r="A53" t="s">
        <v>51</v>
      </c>
      <c r="B53" t="s">
        <v>108</v>
      </c>
    </row>
    <row r="54" spans="1:2" x14ac:dyDescent="0.55000000000000004">
      <c r="A54" t="s">
        <v>52</v>
      </c>
      <c r="B54" t="s">
        <v>106</v>
      </c>
    </row>
    <row r="55" spans="1:2" x14ac:dyDescent="0.55000000000000004">
      <c r="A55" t="s">
        <v>53</v>
      </c>
      <c r="B55" t="s">
        <v>109</v>
      </c>
    </row>
    <row r="56" spans="1:2" x14ac:dyDescent="0.55000000000000004">
      <c r="A56" t="s">
        <v>54</v>
      </c>
      <c r="B56" t="s">
        <v>110</v>
      </c>
    </row>
    <row r="57" spans="1:2" x14ac:dyDescent="0.55000000000000004">
      <c r="A57" t="s">
        <v>55</v>
      </c>
      <c r="B57" t="s">
        <v>111</v>
      </c>
    </row>
    <row r="58" spans="1:2" x14ac:dyDescent="0.55000000000000004">
      <c r="A58" t="s">
        <v>138</v>
      </c>
      <c r="B58" t="s">
        <v>150</v>
      </c>
    </row>
    <row r="59" spans="1:2" x14ac:dyDescent="0.55000000000000004">
      <c r="A59" t="s">
        <v>139</v>
      </c>
      <c r="B59" t="s">
        <v>148</v>
      </c>
    </row>
    <row r="60" spans="1:2" x14ac:dyDescent="0.55000000000000004">
      <c r="A60" t="s">
        <v>140</v>
      </c>
      <c r="B60" t="s">
        <v>147</v>
      </c>
    </row>
    <row r="61" spans="1:2" x14ac:dyDescent="0.55000000000000004">
      <c r="A61" t="s">
        <v>141</v>
      </c>
      <c r="B61" t="s">
        <v>151</v>
      </c>
    </row>
    <row r="62" spans="1:2" x14ac:dyDescent="0.55000000000000004">
      <c r="A62" t="s">
        <v>142</v>
      </c>
      <c r="B62" t="s">
        <v>152</v>
      </c>
    </row>
    <row r="63" spans="1:2" x14ac:dyDescent="0.55000000000000004">
      <c r="A63" t="s">
        <v>143</v>
      </c>
      <c r="B63" t="s">
        <v>153</v>
      </c>
    </row>
    <row r="64" spans="1:2" x14ac:dyDescent="0.55000000000000004">
      <c r="A64" t="s">
        <v>144</v>
      </c>
      <c r="B64" t="s">
        <v>149</v>
      </c>
    </row>
    <row r="65" spans="1:2" x14ac:dyDescent="0.55000000000000004">
      <c r="A65" t="s">
        <v>145</v>
      </c>
      <c r="B65" t="s">
        <v>154</v>
      </c>
    </row>
  </sheetData>
  <sheetProtection algorithmName="SHA-512" hashValue="ZYoeqM/FRQfnYQaYrGfFfefvQXnYXQlAcDfRHGgNLmBFk5Ui8hz0qqeKTNbARdw6CiYUL7/CZlwS+gNWCYP+XA==" saltValue="VtgVMGtH4UjE4/8tOZed1Q==" spinCount="100000" sheet="1" objects="1" scenarios="1" selectLockedCells="1" selectUnlockedCell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データ入力</vt:lpstr>
      <vt:lpstr>ランキング</vt:lpstr>
      <vt:lpstr>Data</vt:lpstr>
      <vt:lpstr>MasterData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臼井佑太郎</cp:lastModifiedBy>
  <dcterms:created xsi:type="dcterms:W3CDTF">2022-07-02T07:52:08Z</dcterms:created>
  <dcterms:modified xsi:type="dcterms:W3CDTF">2022-10-16T19:09:17Z</dcterms:modified>
</cp:coreProperties>
</file>